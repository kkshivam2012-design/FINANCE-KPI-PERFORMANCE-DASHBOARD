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SHIVAM KUMAR\Downloads\"/>
    </mc:Choice>
  </mc:AlternateContent>
  <xr:revisionPtr revIDLastSave="0" documentId="8_{65751E69-7411-4880-B3DC-C8E5054F2CA4}" xr6:coauthVersionLast="47" xr6:coauthVersionMax="47" xr10:uidLastSave="{00000000-0000-0000-0000-000000000000}"/>
  <bookViews>
    <workbookView xWindow="-108" yWindow="-108" windowWidth="23256" windowHeight="12456" xr2:uid="{D4981C25-71B9-4B45-8976-FAE71B358F8C}"/>
  </bookViews>
  <sheets>
    <sheet name="DASHBOARD" sheetId="4" r:id="rId1"/>
    <sheet name="pivot 1" sheetId="3" r:id="rId2"/>
    <sheet name="KPI_Data" sheetId="1" r:id="rId3"/>
  </sheets>
  <definedNames>
    <definedName name="_xlnm._FilterDatabase" localSheetId="2" hidden="1">KPI_Data!$L$1:$L$501</definedName>
    <definedName name="Slicer_Month">#N/A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B13" i="3"/>
  <c r="B15" i="3"/>
  <c r="B11" i="3"/>
  <c r="B14" i="3"/>
  <c r="B12" i="3"/>
</calcChain>
</file>

<file path=xl/sharedStrings.xml><?xml version="1.0" encoding="utf-8"?>
<sst xmlns="http://schemas.openxmlformats.org/spreadsheetml/2006/main" count="3601" uniqueCount="307">
  <si>
    <t>Date</t>
  </si>
  <si>
    <t>Region</t>
  </si>
  <si>
    <t>Department</t>
  </si>
  <si>
    <t>Revenue</t>
  </si>
  <si>
    <t>Expenses</t>
  </si>
  <si>
    <t>Customers</t>
  </si>
  <si>
    <t>Budget Revenue</t>
  </si>
  <si>
    <t>Product Category</t>
  </si>
  <si>
    <t>Sales Channel</t>
  </si>
  <si>
    <t>Financial Metric</t>
  </si>
  <si>
    <t>Expense Category</t>
  </si>
  <si>
    <t>Customer Name</t>
  </si>
  <si>
    <t>Customer Satisfaction %</t>
  </si>
  <si>
    <t>Budget Profit</t>
  </si>
  <si>
    <t>Year</t>
  </si>
  <si>
    <t>Month</t>
  </si>
  <si>
    <t>Actual Profit</t>
  </si>
  <si>
    <t>East</t>
  </si>
  <si>
    <t>Sales</t>
  </si>
  <si>
    <t>Electronics</t>
  </si>
  <si>
    <t>Online</t>
  </si>
  <si>
    <t>EBITDA</t>
  </si>
  <si>
    <t>Maintenance</t>
  </si>
  <si>
    <t>Arjun Das</t>
  </si>
  <si>
    <t>Marketing</t>
  </si>
  <si>
    <t>Apparel</t>
  </si>
  <si>
    <t>Distributor</t>
  </si>
  <si>
    <t>Aditya Kumar</t>
  </si>
  <si>
    <t>South</t>
  </si>
  <si>
    <t>Net Profit</t>
  </si>
  <si>
    <t>IT Expenses</t>
  </si>
  <si>
    <t>Vihaan Rao</t>
  </si>
  <si>
    <t>North</t>
  </si>
  <si>
    <t>Operations</t>
  </si>
  <si>
    <t>Food</t>
  </si>
  <si>
    <t>Rent</t>
  </si>
  <si>
    <t>Neha Rao</t>
  </si>
  <si>
    <t>Retail</t>
  </si>
  <si>
    <t>Ananya Yadav</t>
  </si>
  <si>
    <t>IT</t>
  </si>
  <si>
    <t>Krishna Reddy</t>
  </si>
  <si>
    <t>Finance</t>
  </si>
  <si>
    <t>Gross Profit</t>
  </si>
  <si>
    <t>Office Supplies</t>
  </si>
  <si>
    <t>Pooja Sharma</t>
  </si>
  <si>
    <t>West</t>
  </si>
  <si>
    <t>Insurance</t>
  </si>
  <si>
    <t>Ananya Nair</t>
  </si>
  <si>
    <t>HR</t>
  </si>
  <si>
    <t>Salaries</t>
  </si>
  <si>
    <t>Ishaan Yadav</t>
  </si>
  <si>
    <t>Operating Expenses</t>
  </si>
  <si>
    <t>Travel</t>
  </si>
  <si>
    <t>Aarav Mehta</t>
  </si>
  <si>
    <t>Healthcare</t>
  </si>
  <si>
    <t>Training</t>
  </si>
  <si>
    <t>Neha Kumar</t>
  </si>
  <si>
    <t>Rahul Das</t>
  </si>
  <si>
    <t>Furniture</t>
  </si>
  <si>
    <t>Vihaan Naidu</t>
  </si>
  <si>
    <t>Sneha Sharma</t>
  </si>
  <si>
    <t>Aarav Sharma</t>
  </si>
  <si>
    <t>Kavya Sharma</t>
  </si>
  <si>
    <t>Ananya Joshi</t>
  </si>
  <si>
    <t>Krishna Nair</t>
  </si>
  <si>
    <t>Aarav Singh</t>
  </si>
  <si>
    <t>Rahul Yadav</t>
  </si>
  <si>
    <t>Kavya Gupta</t>
  </si>
  <si>
    <t>Priya Gupta</t>
  </si>
  <si>
    <t>Aarav Nair</t>
  </si>
  <si>
    <t>Kavya Naidu</t>
  </si>
  <si>
    <t>Utilities</t>
  </si>
  <si>
    <t>Vihaan Patel</t>
  </si>
  <si>
    <t>Kiran Reddy</t>
  </si>
  <si>
    <t>Sneha Naidu</t>
  </si>
  <si>
    <t>Meera Naidu</t>
  </si>
  <si>
    <t>Aisha Singh</t>
  </si>
  <si>
    <t>Krishna Kumar</t>
  </si>
  <si>
    <t>Kiran Das</t>
  </si>
  <si>
    <t>Pooja Kapoor</t>
  </si>
  <si>
    <t>Meera Nair</t>
  </si>
  <si>
    <t>Diya Kapoor</t>
  </si>
  <si>
    <t>Vivaan Rao</t>
  </si>
  <si>
    <t>Rahul Mehta</t>
  </si>
  <si>
    <t>Sai Verma</t>
  </si>
  <si>
    <t>Priya Reddy</t>
  </si>
  <si>
    <t>Neha Joshi</t>
  </si>
  <si>
    <t>Meera Reddy</t>
  </si>
  <si>
    <t>Sai Singh</t>
  </si>
  <si>
    <t>Ananya Verma</t>
  </si>
  <si>
    <t>Pooja Mehta</t>
  </si>
  <si>
    <t>Aarav Rao</t>
  </si>
  <si>
    <t>Vivaan Kumar</t>
  </si>
  <si>
    <t>Ishaan Das</t>
  </si>
  <si>
    <t>Diya Nair</t>
  </si>
  <si>
    <t>Sai Patel</t>
  </si>
  <si>
    <t>Meera Gupta</t>
  </si>
  <si>
    <t>Aarav Yadav</t>
  </si>
  <si>
    <t>Krishna Singh</t>
  </si>
  <si>
    <t>Ananya Singh</t>
  </si>
  <si>
    <t>Priya Kapoor</t>
  </si>
  <si>
    <t>Diya Verma</t>
  </si>
  <si>
    <t>Neha Naidu</t>
  </si>
  <si>
    <t>Rohan Joshi</t>
  </si>
  <si>
    <t>Kavya Das</t>
  </si>
  <si>
    <t>Meera Yadav</t>
  </si>
  <si>
    <t>Arjun Singh</t>
  </si>
  <si>
    <t>Aisha Sharma</t>
  </si>
  <si>
    <t>Priya Das</t>
  </si>
  <si>
    <t>Priya Nair</t>
  </si>
  <si>
    <t>Priya Sharma</t>
  </si>
  <si>
    <t>Kavya Singh</t>
  </si>
  <si>
    <t>Ishaan Verma</t>
  </si>
  <si>
    <t>Neha Das</t>
  </si>
  <si>
    <t>Rahul Joshi</t>
  </si>
  <si>
    <t>Diya Patel</t>
  </si>
  <si>
    <t>Aditya Yadav</t>
  </si>
  <si>
    <t>Kavya Yadav</t>
  </si>
  <si>
    <t>Rohan Sharma</t>
  </si>
  <si>
    <t>Aditya Reddy</t>
  </si>
  <si>
    <t>Rohan Gupta</t>
  </si>
  <si>
    <t>Rohan Reddy</t>
  </si>
  <si>
    <t>Ishaan Patel</t>
  </si>
  <si>
    <t>Priya Kumar</t>
  </si>
  <si>
    <t>Aditya Patel</t>
  </si>
  <si>
    <t>Sai Kumar</t>
  </si>
  <si>
    <t>Meera Patel</t>
  </si>
  <si>
    <t>Kiran Rao</t>
  </si>
  <si>
    <t>Sneha Rao</t>
  </si>
  <si>
    <t>Pooja Reddy</t>
  </si>
  <si>
    <t>Aarav Kumar</t>
  </si>
  <si>
    <t>Aisha Yadav</t>
  </si>
  <si>
    <t>Vihaan Kumar</t>
  </si>
  <si>
    <t>Ishaan Nair</t>
  </si>
  <si>
    <t>Aarav Gupta</t>
  </si>
  <si>
    <t>Arjun Sharma</t>
  </si>
  <si>
    <t>Sai Rao</t>
  </si>
  <si>
    <t>Meera Joshi</t>
  </si>
  <si>
    <t>Meera Rao</t>
  </si>
  <si>
    <t>Rahul Singh</t>
  </si>
  <si>
    <t>Diya Yadav</t>
  </si>
  <si>
    <t>Sneha Joshi</t>
  </si>
  <si>
    <t>Kiran Patel</t>
  </si>
  <si>
    <t>Krishna Naidu</t>
  </si>
  <si>
    <t>Aditya Kapoor</t>
  </si>
  <si>
    <t>Kiran Mehta</t>
  </si>
  <si>
    <t>Sai Nair</t>
  </si>
  <si>
    <t>Diya Kumar</t>
  </si>
  <si>
    <t>Vivaan Das</t>
  </si>
  <si>
    <t>Diya Rao</t>
  </si>
  <si>
    <t>Sai Kapoor</t>
  </si>
  <si>
    <t>Ishaan Singh</t>
  </si>
  <si>
    <t>Vivaan Nair</t>
  </si>
  <si>
    <t>Krishna Verma</t>
  </si>
  <si>
    <t>Vihaan Gupta</t>
  </si>
  <si>
    <t>Diya Joshi</t>
  </si>
  <si>
    <t>Aisha Das</t>
  </si>
  <si>
    <t>Krishna Rao</t>
  </si>
  <si>
    <t>Vihaan Joshi</t>
  </si>
  <si>
    <t>Ananya Kumar</t>
  </si>
  <si>
    <t>Aarav Verma</t>
  </si>
  <si>
    <t>Ishaan Kapoor</t>
  </si>
  <si>
    <t>Ananya Naidu</t>
  </si>
  <si>
    <t>Kiran Sharma</t>
  </si>
  <si>
    <t>Sai Gupta</t>
  </si>
  <si>
    <t>Sneha Yadav</t>
  </si>
  <si>
    <t>Arjun Verma</t>
  </si>
  <si>
    <t>Aisha Gupta</t>
  </si>
  <si>
    <t>Vihaan Kapoor</t>
  </si>
  <si>
    <t>Kavya Verma</t>
  </si>
  <si>
    <t>Kavya Rao</t>
  </si>
  <si>
    <t>Aditya Mehta</t>
  </si>
  <si>
    <t>Vivaan Reddy</t>
  </si>
  <si>
    <t>Arjun Patel</t>
  </si>
  <si>
    <t>Sai Naidu</t>
  </si>
  <si>
    <t>Rohan Yadav</t>
  </si>
  <si>
    <t>Sneha Das</t>
  </si>
  <si>
    <t>Meera Kapoor</t>
  </si>
  <si>
    <t>Rohan Verma</t>
  </si>
  <si>
    <t>Sneha Verma</t>
  </si>
  <si>
    <t>Rahul Kapoor</t>
  </si>
  <si>
    <t>Pooja Patel</t>
  </si>
  <si>
    <t>Diya Singh</t>
  </si>
  <si>
    <t>Vihaan Verma</t>
  </si>
  <si>
    <t>Aditya Nair</t>
  </si>
  <si>
    <t>Arjun Kapoor</t>
  </si>
  <si>
    <t>Vihaan Das</t>
  </si>
  <si>
    <t>Ananya Reddy</t>
  </si>
  <si>
    <t>Priya Naidu</t>
  </si>
  <si>
    <t>Vivaan Kapoor</t>
  </si>
  <si>
    <t>Ishaan Joshi</t>
  </si>
  <si>
    <t>Aarav Reddy</t>
  </si>
  <si>
    <t>Aisha Reddy</t>
  </si>
  <si>
    <t>Vivaan Gupta</t>
  </si>
  <si>
    <t>Sai Reddy</t>
  </si>
  <si>
    <t>Neha Patel</t>
  </si>
  <si>
    <t>Rahul Patel</t>
  </si>
  <si>
    <t>Vihaan Nair</t>
  </si>
  <si>
    <t>Kiran Singh</t>
  </si>
  <si>
    <t>Rohan Mehta</t>
  </si>
  <si>
    <t>Pooja Verma</t>
  </si>
  <si>
    <t>Neha Nair</t>
  </si>
  <si>
    <t>Sneha Nair</t>
  </si>
  <si>
    <t>Neha Reddy</t>
  </si>
  <si>
    <t>Kavya Kapoor</t>
  </si>
  <si>
    <t>Pooja Joshi</t>
  </si>
  <si>
    <t>Krishna Gupta</t>
  </si>
  <si>
    <t>Sneha Gupta</t>
  </si>
  <si>
    <t>Vivaan Verma</t>
  </si>
  <si>
    <t>Diya Naidu</t>
  </si>
  <si>
    <t>Kiran Gupta</t>
  </si>
  <si>
    <t>Sneha Reddy</t>
  </si>
  <si>
    <t>Ishaan Reddy</t>
  </si>
  <si>
    <t>Rahul Gupta</t>
  </si>
  <si>
    <t>Rahul Nair</t>
  </si>
  <si>
    <t>Aditya Sharma</t>
  </si>
  <si>
    <t>Priya Rao</t>
  </si>
  <si>
    <t>Arjun Reddy</t>
  </si>
  <si>
    <t>Sneha Kumar</t>
  </si>
  <si>
    <t>Vihaan Mehta</t>
  </si>
  <si>
    <t>Ishaan Kumar</t>
  </si>
  <si>
    <t>Arjun Naidu</t>
  </si>
  <si>
    <t>Krishna Patel</t>
  </si>
  <si>
    <t>Vivaan Yadav</t>
  </si>
  <si>
    <t>Sneha Kapoor</t>
  </si>
  <si>
    <t>Kiran Nair</t>
  </si>
  <si>
    <t>Kavya Patel</t>
  </si>
  <si>
    <t>Vivaan Mehta</t>
  </si>
  <si>
    <t>Rahul Kumar</t>
  </si>
  <si>
    <t>Aditya Joshi</t>
  </si>
  <si>
    <t>Neha Yadav</t>
  </si>
  <si>
    <t>Rohan Singh</t>
  </si>
  <si>
    <t>Neha Kapoor</t>
  </si>
  <si>
    <t>Sneha Patel</t>
  </si>
  <si>
    <t>Rohan Rao</t>
  </si>
  <si>
    <t>Rohan Kapoor</t>
  </si>
  <si>
    <t>Rohan Nair</t>
  </si>
  <si>
    <t>Sai Das</t>
  </si>
  <si>
    <t>Aditya Gupta</t>
  </si>
  <si>
    <t>Sneha Singh</t>
  </si>
  <si>
    <t>Pooja Gupta</t>
  </si>
  <si>
    <t>Aisha Verma</t>
  </si>
  <si>
    <t>Rahul Sharma</t>
  </si>
  <si>
    <t>Priya Patel</t>
  </si>
  <si>
    <t>Kiran Kapoor</t>
  </si>
  <si>
    <t>Sai Mehta</t>
  </si>
  <si>
    <t>Krishna Das</t>
  </si>
  <si>
    <t>Ananya Mehta</t>
  </si>
  <si>
    <t>Vivaan Singh</t>
  </si>
  <si>
    <t>Aditya Rao</t>
  </si>
  <si>
    <t>Aisha Nair</t>
  </si>
  <si>
    <t>Aisha Naidu</t>
  </si>
  <si>
    <t>Kiran Kumar</t>
  </si>
  <si>
    <t>Ishaan Gupta</t>
  </si>
  <si>
    <t>Aisha Kapoor</t>
  </si>
  <si>
    <t>Vihaan Yadav</t>
  </si>
  <si>
    <t>Ananya Gupta</t>
  </si>
  <si>
    <t>Kiran Yadav</t>
  </si>
  <si>
    <t>Diya Mehta</t>
  </si>
  <si>
    <t>Kiran Joshi</t>
  </si>
  <si>
    <t>Meera Verma</t>
  </si>
  <si>
    <t>Priya Yadav</t>
  </si>
  <si>
    <t>Neha Mehta</t>
  </si>
  <si>
    <t>Neha Verma</t>
  </si>
  <si>
    <t>Ishaan Mehta</t>
  </si>
  <si>
    <t>Priya Singh</t>
  </si>
  <si>
    <t>Aarav Joshi</t>
  </si>
  <si>
    <t>Ananya Das</t>
  </si>
  <si>
    <t>Arjun Joshi</t>
  </si>
  <si>
    <t>Sai Yadav</t>
  </si>
  <si>
    <t>Ishaan Sharma</t>
  </si>
  <si>
    <t>Kavya Kumar</t>
  </si>
  <si>
    <t>Arjun Rao</t>
  </si>
  <si>
    <t>Meera Sharma</t>
  </si>
  <si>
    <t>Aditya Verma</t>
  </si>
  <si>
    <t>Neha Sharma</t>
  </si>
  <si>
    <t>Rohan Das</t>
  </si>
  <si>
    <t>Rahul Naidu</t>
  </si>
  <si>
    <t>Meera Singh</t>
  </si>
  <si>
    <t>Vivaan Patel</t>
  </si>
  <si>
    <t>Kavya Nair</t>
  </si>
  <si>
    <t>Aarav Kapoor</t>
  </si>
  <si>
    <t>Arjun Yadav</t>
  </si>
  <si>
    <t>Krishna Mehta</t>
  </si>
  <si>
    <t>Pooja Naidu</t>
  </si>
  <si>
    <t>Vivaan Sharma</t>
  </si>
  <si>
    <t>Krishna Joshi</t>
  </si>
  <si>
    <t>Ishaan Rao</t>
  </si>
  <si>
    <t>Rahul Rao</t>
  </si>
  <si>
    <t>Pooja Das</t>
  </si>
  <si>
    <t>Ananya Kapoor</t>
  </si>
  <si>
    <t>Sum of Revenue</t>
  </si>
  <si>
    <t>Sum of Actual Profit</t>
  </si>
  <si>
    <t>Values</t>
  </si>
  <si>
    <t>Sum of Expenses</t>
  </si>
  <si>
    <t>Sum of Customers</t>
  </si>
  <si>
    <t>Average of Customer Satisfaction %</t>
  </si>
  <si>
    <t>total revenue</t>
  </si>
  <si>
    <t>profit</t>
  </si>
  <si>
    <t>customers</t>
  </si>
  <si>
    <t>customers scores</t>
  </si>
  <si>
    <t>KPI CARDS SECTION</t>
  </si>
  <si>
    <t>📊</t>
  </si>
  <si>
    <t>Row Labels</t>
  </si>
  <si>
    <t>Oct</t>
  </si>
  <si>
    <t>Grand Total</t>
  </si>
  <si>
    <t>Sum of Budget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</si>
</sst>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0.0,,&quot;M&quot;"/>
    <numFmt numFmtId="165" formatCode="_ * #,##0_ ;_ * \-#,##0_ ;_ * &quot;-&quot;??_ ;_ @_ "/>
    <numFmt numFmtId="166" formatCode="0.0,&quot;K&quot;"/>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color rgb="FFFFFFFF"/>
      <name val="Arial"/>
      <family val="2"/>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0" fontId="0" fillId="2" borderId="0" xfId="0" applyFill="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1" xfId="0" applyBorder="1" applyAlignment="1">
      <alignment horizontal="left"/>
    </xf>
    <xf numFmtId="164" fontId="0" fillId="0" borderId="1" xfId="0" applyNumberFormat="1" applyBorder="1"/>
    <xf numFmtId="165" fontId="0" fillId="0" borderId="1" xfId="1" applyNumberFormat="1" applyFont="1" applyBorder="1"/>
    <xf numFmtId="2" fontId="0" fillId="0" borderId="1" xfId="0" applyNumberFormat="1" applyBorder="1"/>
    <xf numFmtId="0" fontId="3" fillId="0" borderId="0" xfId="0" applyFont="1"/>
    <xf numFmtId="166" fontId="0" fillId="0" borderId="0" xfId="0" pivotButton="1" applyNumberFormat="1"/>
    <xf numFmtId="166" fontId="0" fillId="0" borderId="0" xfId="0" applyNumberFormat="1"/>
    <xf numFmtId="166" fontId="0" fillId="0" borderId="0" xfId="0" applyNumberFormat="1" applyAlignment="1">
      <alignment horizontal="left"/>
    </xf>
    <xf numFmtId="0" fontId="0" fillId="0" borderId="1" xfId="0" pivotButton="1" applyBorder="1"/>
    <xf numFmtId="0" fontId="0" fillId="0" borderId="1" xfId="0" applyBorder="1"/>
    <xf numFmtId="0" fontId="2" fillId="0" borderId="1" xfId="0" applyFont="1" applyBorder="1" applyAlignment="1">
      <alignment horizontal="left"/>
    </xf>
    <xf numFmtId="164" fontId="2" fillId="0" borderId="1" xfId="0" applyNumberFormat="1" applyFont="1" applyBorder="1"/>
    <xf numFmtId="0" fontId="2" fillId="3" borderId="0" xfId="0" applyFont="1" applyFill="1" applyAlignment="1">
      <alignment horizontal="center"/>
    </xf>
    <xf numFmtId="0" fontId="0" fillId="3" borderId="0" xfId="0" applyFill="1" applyAlignment="1">
      <alignment horizontal="center"/>
    </xf>
    <xf numFmtId="0" fontId="0" fillId="0" borderId="0" xfId="0" applyNumberFormat="1"/>
  </cellXfs>
  <cellStyles count="2">
    <cellStyle name="Comma" xfId="1" builtinId="3"/>
    <cellStyle name="Normal" xfId="0" builtinId="0"/>
  </cellStyles>
  <dxfs count="100">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0" formatCode="General"/>
    </dxf>
    <dxf>
      <numFmt numFmtId="0" formatCode="General"/>
    </dxf>
    <dxf>
      <numFmt numFmtId="0" formatCode="General"/>
    </dxf>
    <dxf>
      <numFmt numFmtId="19" formatCode="dd/mm/yyyy"/>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numFmt numFmtId="164" formatCode="\$0.0,,&quot;M&quot;"/>
    </dxf>
  </dxfs>
  <tableStyles count="1" defaultTableStyle="TableStyleMedium2" defaultPivotStyle="PivotStyleLight16">
    <tableStyle name="Slicer Style 1" pivot="0" table="0" count="0" xr9:uid="{35630BE8-64DB-42CE-82E1-3BE9217454FF}"/>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[KPI-Data.xlsx]pivot 1!PivotTable2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600">
                <a:solidFill>
                  <a:schemeClr val="tx1"/>
                </a:solidFill>
              </a:rPr>
              <a:t>Revenue</a:t>
            </a:r>
            <a:r>
              <a:rPr lang="en-IN" sz="1600" baseline="0">
                <a:solidFill>
                  <a:schemeClr val="tx1"/>
                </a:solidFill>
              </a:rPr>
              <a:t> vs profit Trend </a:t>
            </a:r>
            <a:endParaRPr lang="en-IN" sz="1600">
              <a:solidFill>
                <a:schemeClr val="tx1"/>
              </a:solidFill>
            </a:endParaRPr>
          </a:p>
        </c:rich>
      </c:tx>
      <c:layout>
        <c:manualLayout>
          <c:xMode val="edge"/>
          <c:yMode val="edge"/>
          <c:x val="0.21581295365215281"/>
          <c:y val="5.92809738096906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2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95000"/>
                <a:lumOff val="5000"/>
              </a:schemeClr>
            </a:solidFill>
            <a:round/>
          </a:ln>
          <a:effectLst/>
        </c:spPr>
        <c:marker>
          <c:symbol val="circle"/>
          <c:size val="7"/>
          <c:spPr>
            <a:solidFill>
              <a:schemeClr val="accent1"/>
            </a:solidFill>
            <a:ln w="222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97848240710519"/>
          <c:y val="0.25353815781356037"/>
          <c:w val="0.87972068069184484"/>
          <c:h val="0.59537775973388429"/>
        </c:manualLayout>
      </c:layout>
      <c:barChart>
        <c:barDir val="col"/>
        <c:grouping val="clustered"/>
        <c:varyColors val="0"/>
        <c:ser>
          <c:idx val="0"/>
          <c:order val="0"/>
          <c:tx>
            <c:strRef>
              <c:f>'pivot 1'!$E$3</c:f>
              <c:strCache>
                <c:ptCount val="1"/>
                <c:pt idx="0">
                  <c:v>Sum of Revenue</c:v>
                </c:pt>
              </c:strCache>
            </c:strRef>
          </c:tx>
          <c:spPr>
            <a:gradFill>
              <a:gsLst>
                <a:gs pos="2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'pivot 1'!$D$4:$D$5</c:f>
              <c:strCache>
                <c:ptCount val="1"/>
                <c:pt idx="0">
                  <c:v>Oct</c:v>
                </c:pt>
              </c:strCache>
            </c:strRef>
          </c:cat>
          <c:val>
            <c:numRef>
              <c:f>'pivot 1'!$E$4:$E$5</c:f>
              <c:numCache>
                <c:formatCode>\$0.0,,"M"</c:formatCode>
                <c:ptCount val="1"/>
                <c:pt idx="0">
                  <c:v>5182792</c:v>
                </c:pt>
              </c:numCache>
            </c:numRef>
          </c:val>
          <c:extLst>
            <c:ext xmlns:c16="http://schemas.microsoft.com/office/drawing/2014/chart" uri="{C3380CC4-5D6E-409C-BE32-E72D297353CC}">
              <c16:uniqueId val="{00000000-3C3A-46D5-99A9-1240AA0868C1}"/>
            </c:ext>
          </c:extLst>
        </c:ser>
        <c:dLbls>
          <c:showLegendKey val="0"/>
          <c:showVal val="0"/>
          <c:showCatName val="0"/>
          <c:showSerName val="0"/>
          <c:showPercent val="0"/>
          <c:showBubbleSize val="0"/>
        </c:dLbls>
        <c:gapWidth val="50"/>
        <c:overlap val="27"/>
        <c:axId val="1527516512"/>
        <c:axId val="1534007280"/>
      </c:barChart>
      <c:lineChart>
        <c:grouping val="standard"/>
        <c:varyColors val="0"/>
        <c:ser>
          <c:idx val="1"/>
          <c:order val="1"/>
          <c:tx>
            <c:strRef>
              <c:f>'pivot 1'!$F$3</c:f>
              <c:strCache>
                <c:ptCount val="1"/>
                <c:pt idx="0">
                  <c:v>Sum of Actual Profit</c:v>
                </c:pt>
              </c:strCache>
            </c:strRef>
          </c:tx>
          <c:spPr>
            <a:ln w="28575" cap="rnd">
              <a:solidFill>
                <a:schemeClr val="tx1">
                  <a:lumMod val="95000"/>
                  <a:lumOff val="5000"/>
                </a:schemeClr>
              </a:solidFill>
              <a:round/>
            </a:ln>
            <a:effectLst/>
          </c:spPr>
          <c:marker>
            <c:symbol val="circle"/>
            <c:size val="7"/>
            <c:spPr>
              <a:solidFill>
                <a:schemeClr val="accent1"/>
              </a:solidFill>
              <a:ln w="22225">
                <a:solidFill>
                  <a:schemeClr val="bg1"/>
                </a:solidFill>
              </a:ln>
              <a:effectLst/>
            </c:spPr>
          </c:marker>
          <c:cat>
            <c:strRef>
              <c:f>'pivot 1'!$D$4:$D$5</c:f>
              <c:strCache>
                <c:ptCount val="1"/>
                <c:pt idx="0">
                  <c:v>Oct</c:v>
                </c:pt>
              </c:strCache>
            </c:strRef>
          </c:cat>
          <c:val>
            <c:numRef>
              <c:f>'pivot 1'!$F$4:$F$5</c:f>
              <c:numCache>
                <c:formatCode>\$0.0,,"M"</c:formatCode>
                <c:ptCount val="1"/>
                <c:pt idx="0">
                  <c:v>2366797</c:v>
                </c:pt>
              </c:numCache>
            </c:numRef>
          </c:val>
          <c:smooth val="0"/>
          <c:extLst>
            <c:ext xmlns:c16="http://schemas.microsoft.com/office/drawing/2014/chart" uri="{C3380CC4-5D6E-409C-BE32-E72D297353CC}">
              <c16:uniqueId val="{00000001-3C3A-46D5-99A9-1240AA0868C1}"/>
            </c:ext>
          </c:extLst>
        </c:ser>
        <c:dLbls>
          <c:showLegendKey val="0"/>
          <c:showVal val="0"/>
          <c:showCatName val="0"/>
          <c:showSerName val="0"/>
          <c:showPercent val="0"/>
          <c:showBubbleSize val="0"/>
        </c:dLbls>
        <c:marker val="1"/>
        <c:smooth val="0"/>
        <c:axId val="1527516512"/>
        <c:axId val="1534007280"/>
      </c:lineChart>
      <c:catAx>
        <c:axId val="152751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34007280"/>
        <c:crosses val="autoZero"/>
        <c:auto val="1"/>
        <c:lblAlgn val="ctr"/>
        <c:lblOffset val="100"/>
        <c:noMultiLvlLbl val="0"/>
      </c:catAx>
      <c:valAx>
        <c:axId val="1534007280"/>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7516512"/>
        <c:crosses val="autoZero"/>
        <c:crossBetween val="between"/>
      </c:valAx>
      <c:spPr>
        <a:noFill/>
        <a:ln>
          <a:noFill/>
        </a:ln>
        <a:effectLst/>
      </c:spPr>
    </c:plotArea>
    <c:legend>
      <c:legendPos val="r"/>
      <c:layout>
        <c:manualLayout>
          <c:xMode val="edge"/>
          <c:yMode val="edge"/>
          <c:x val="0.62242357057410902"/>
          <c:y val="0.11235584706962809"/>
          <c:w val="0.35999069085545193"/>
          <c:h val="0.182217028935797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[KPI-Data.xlsx]pivot 1!PivotTable3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 By</a:t>
            </a:r>
            <a:r>
              <a:rPr lang="en-US" b="1" baseline="0">
                <a:solidFill>
                  <a:schemeClr val="tx1"/>
                </a:solidFill>
              </a:rPr>
              <a:t> Department ($M)</a:t>
            </a:r>
            <a:endParaRPr lang="en-US" b="1">
              <a:solidFill>
                <a:schemeClr val="tx1"/>
              </a:solidFill>
            </a:endParaRPr>
          </a:p>
        </c:rich>
      </c:tx>
      <c:layout>
        <c:manualLayout>
          <c:xMode val="edge"/>
          <c:yMode val="edge"/>
          <c:x val="0.18959551867671512"/>
          <c:y val="2.25602008746074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9454">
                <a:srgbClr val="8DA6C8"/>
              </a:gs>
              <a:gs pos="42000">
                <a:srgbClr val="536F9D"/>
              </a:gs>
              <a:gs pos="40000">
                <a:srgbClr val="002060"/>
              </a:gs>
              <a:gs pos="74000">
                <a:schemeClr val="accent1">
                  <a:lumMod val="45000"/>
                  <a:lumOff val="55000"/>
                </a:schemeClr>
              </a:gs>
              <a:gs pos="90905">
                <a:srgbClr val="BCCFE6"/>
              </a:gs>
              <a:gs pos="83000">
                <a:schemeClr val="accent1">
                  <a:lumMod val="45000"/>
                  <a:lumOff val="55000"/>
                </a:schemeClr>
              </a:gs>
              <a:gs pos="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59454">
                <a:srgbClr val="8DA6C8"/>
              </a:gs>
              <a:gs pos="42000">
                <a:srgbClr val="536F9D"/>
              </a:gs>
              <a:gs pos="40000">
                <a:srgbClr val="002060"/>
              </a:gs>
              <a:gs pos="74000">
                <a:schemeClr val="accent1">
                  <a:lumMod val="45000"/>
                  <a:lumOff val="55000"/>
                </a:schemeClr>
              </a:gs>
              <a:gs pos="90905">
                <a:srgbClr val="BCCFE6"/>
              </a:gs>
              <a:gs pos="83000">
                <a:schemeClr val="accent1">
                  <a:lumMod val="45000"/>
                  <a:lumOff val="55000"/>
                </a:schemeClr>
              </a:gs>
              <a:gs pos="0">
                <a:schemeClr val="accent1">
                  <a:lumMod val="30000"/>
                  <a:lumOff val="70000"/>
                </a:schemeClr>
              </a:gs>
            </a:gsLst>
            <a:lin ang="5400000" scaled="1"/>
          </a:gradFill>
          <a:ln>
            <a:noFill/>
          </a:ln>
          <a:effectLst/>
        </c:spPr>
      </c:pivotFmt>
    </c:pivotFmts>
    <c:plotArea>
      <c:layout>
        <c:manualLayout>
          <c:layoutTarget val="inner"/>
          <c:xMode val="edge"/>
          <c:yMode val="edge"/>
          <c:x val="0.20858927833991692"/>
          <c:y val="0.14669484444881309"/>
          <c:w val="0.7369914670015878"/>
          <c:h val="0.7394061679790026"/>
        </c:manualLayout>
      </c:layout>
      <c:barChart>
        <c:barDir val="bar"/>
        <c:grouping val="clustered"/>
        <c:varyColors val="0"/>
        <c:ser>
          <c:idx val="0"/>
          <c:order val="0"/>
          <c:tx>
            <c:strRef>
              <c:f>'pivot 1'!$E$18</c:f>
              <c:strCache>
                <c:ptCount val="1"/>
                <c:pt idx="0">
                  <c:v>Total</c:v>
                </c:pt>
              </c:strCache>
            </c:strRef>
          </c:tx>
          <c:spPr>
            <a:gradFill>
              <a:gsLst>
                <a:gs pos="59454">
                  <a:srgbClr val="8DA6C8"/>
                </a:gs>
                <a:gs pos="42000">
                  <a:srgbClr val="536F9D"/>
                </a:gs>
                <a:gs pos="40000">
                  <a:srgbClr val="002060"/>
                </a:gs>
                <a:gs pos="74000">
                  <a:schemeClr val="accent1">
                    <a:lumMod val="45000"/>
                    <a:lumOff val="55000"/>
                  </a:schemeClr>
                </a:gs>
                <a:gs pos="90905">
                  <a:srgbClr val="BCCFE6"/>
                </a:gs>
                <a:gs pos="83000">
                  <a:schemeClr val="accent1">
                    <a:lumMod val="45000"/>
                    <a:lumOff val="55000"/>
                  </a:schemeClr>
                </a:gs>
                <a:gs pos="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1'!$D$19:$D$25</c:f>
              <c:strCache>
                <c:ptCount val="6"/>
                <c:pt idx="0">
                  <c:v>Marketing</c:v>
                </c:pt>
                <c:pt idx="1">
                  <c:v>Finance</c:v>
                </c:pt>
                <c:pt idx="2">
                  <c:v>Sales</c:v>
                </c:pt>
                <c:pt idx="3">
                  <c:v>IT</c:v>
                </c:pt>
                <c:pt idx="4">
                  <c:v>Operations</c:v>
                </c:pt>
                <c:pt idx="5">
                  <c:v>HR</c:v>
                </c:pt>
              </c:strCache>
            </c:strRef>
          </c:cat>
          <c:val>
            <c:numRef>
              <c:f>'pivot 1'!$E$19:$E$25</c:f>
              <c:numCache>
                <c:formatCode>\$0.0,,"M"</c:formatCode>
                <c:ptCount val="6"/>
                <c:pt idx="0">
                  <c:v>401692</c:v>
                </c:pt>
                <c:pt idx="1">
                  <c:v>589394</c:v>
                </c:pt>
                <c:pt idx="2">
                  <c:v>851289</c:v>
                </c:pt>
                <c:pt idx="3">
                  <c:v>1083623</c:v>
                </c:pt>
                <c:pt idx="4">
                  <c:v>1113621</c:v>
                </c:pt>
                <c:pt idx="5">
                  <c:v>1143173</c:v>
                </c:pt>
              </c:numCache>
            </c:numRef>
          </c:val>
          <c:extLst>
            <c:ext xmlns:c16="http://schemas.microsoft.com/office/drawing/2014/chart" uri="{C3380CC4-5D6E-409C-BE32-E72D297353CC}">
              <c16:uniqueId val="{00000000-5BB5-4427-9F80-DBDA804AD086}"/>
            </c:ext>
          </c:extLst>
        </c:ser>
        <c:dLbls>
          <c:showLegendKey val="0"/>
          <c:showVal val="0"/>
          <c:showCatName val="0"/>
          <c:showSerName val="0"/>
          <c:showPercent val="0"/>
          <c:showBubbleSize val="0"/>
        </c:dLbls>
        <c:gapWidth val="50"/>
        <c:axId val="1539227312"/>
        <c:axId val="1534044240"/>
      </c:barChart>
      <c:catAx>
        <c:axId val="153922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34044240"/>
        <c:crosses val="autoZero"/>
        <c:auto val="1"/>
        <c:lblAlgn val="ctr"/>
        <c:lblOffset val="100"/>
        <c:noMultiLvlLbl val="0"/>
      </c:catAx>
      <c:valAx>
        <c:axId val="1534044240"/>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3922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[KPI-Data.xlsx]pivot 1!PivotTable7</c:name>
    <c:fmtId val="2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Budget</a:t>
            </a:r>
            <a:r>
              <a:rPr lang="en-IN" sz="1800" b="1" baseline="0">
                <a:solidFill>
                  <a:schemeClr val="tx1"/>
                </a:solidFill>
              </a:rPr>
              <a:t> vs Actual</a:t>
            </a:r>
            <a:endParaRPr lang="en-IN" sz="1800" b="1">
              <a:solidFill>
                <a:schemeClr val="tx1"/>
              </a:solidFill>
            </a:endParaRPr>
          </a:p>
        </c:rich>
      </c:tx>
      <c:layout>
        <c:manualLayout>
          <c:xMode val="edge"/>
          <c:yMode val="edge"/>
          <c:x val="0.21625189775331718"/>
          <c:y val="4.4702899306663851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40000">
                <a:srgbClr val="8DA6C8"/>
              </a:gs>
              <a:gs pos="4000">
                <a:srgbClr val="536F9D"/>
              </a:gs>
              <a:gs pos="0">
                <a:srgbClr val="002060"/>
              </a:gs>
              <a:gs pos="74000">
                <a:schemeClr val="accent1">
                  <a:lumMod val="45000"/>
                  <a:lumOff val="55000"/>
                </a:schemeClr>
              </a:gs>
              <a:gs pos="0">
                <a:srgbClr val="BCCFE6"/>
              </a:gs>
              <a:gs pos="61000">
                <a:schemeClr val="accent1">
                  <a:lumMod val="45000"/>
                  <a:lumOff val="55000"/>
                </a:schemeClr>
              </a:gs>
              <a:gs pos="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59049394004109"/>
          <c:y val="0.17140481667267135"/>
          <c:w val="0.85721999446013808"/>
          <c:h val="0.67882132853359323"/>
        </c:manualLayout>
      </c:layout>
      <c:barChart>
        <c:barDir val="col"/>
        <c:grouping val="clustered"/>
        <c:varyColors val="0"/>
        <c:ser>
          <c:idx val="0"/>
          <c:order val="0"/>
          <c:tx>
            <c:strRef>
              <c:f>'pivot 1'!$I$28</c:f>
              <c:strCache>
                <c:ptCount val="1"/>
                <c:pt idx="0">
                  <c:v>Sum of Actual Profit</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'pivot 1'!$H$29:$H$34</c:f>
              <c:strCache>
                <c:ptCount val="5"/>
                <c:pt idx="0">
                  <c:v>EBITDA</c:v>
                </c:pt>
                <c:pt idx="1">
                  <c:v>Gross Profit</c:v>
                </c:pt>
                <c:pt idx="2">
                  <c:v>Net Profit</c:v>
                </c:pt>
                <c:pt idx="3">
                  <c:v>Operating Expenses</c:v>
                </c:pt>
                <c:pt idx="4">
                  <c:v>Revenue</c:v>
                </c:pt>
              </c:strCache>
            </c:strRef>
          </c:cat>
          <c:val>
            <c:numRef>
              <c:f>'pivot 1'!$I$29:$I$34</c:f>
              <c:numCache>
                <c:formatCode>\$0.0,,"M"</c:formatCode>
                <c:ptCount val="5"/>
                <c:pt idx="0">
                  <c:v>952198</c:v>
                </c:pt>
                <c:pt idx="1">
                  <c:v>460858</c:v>
                </c:pt>
                <c:pt idx="2">
                  <c:v>240444</c:v>
                </c:pt>
                <c:pt idx="3">
                  <c:v>212147</c:v>
                </c:pt>
                <c:pt idx="4">
                  <c:v>501150</c:v>
                </c:pt>
              </c:numCache>
            </c:numRef>
          </c:val>
          <c:extLst>
            <c:ext xmlns:c16="http://schemas.microsoft.com/office/drawing/2014/chart" uri="{C3380CC4-5D6E-409C-BE32-E72D297353CC}">
              <c16:uniqueId val="{00000000-A69C-445C-9F09-7C83FA6924D1}"/>
            </c:ext>
          </c:extLst>
        </c:ser>
        <c:ser>
          <c:idx val="1"/>
          <c:order val="1"/>
          <c:tx>
            <c:strRef>
              <c:f>'pivot 1'!$J$28</c:f>
              <c:strCache>
                <c:ptCount val="1"/>
                <c:pt idx="0">
                  <c:v>Sum of Budget Profit</c:v>
                </c:pt>
              </c:strCache>
            </c:strRef>
          </c:tx>
          <c:spPr>
            <a:gradFill>
              <a:gsLst>
                <a:gs pos="40000">
                  <a:srgbClr val="8DA6C8"/>
                </a:gs>
                <a:gs pos="4000">
                  <a:srgbClr val="536F9D"/>
                </a:gs>
                <a:gs pos="0">
                  <a:srgbClr val="002060"/>
                </a:gs>
                <a:gs pos="74000">
                  <a:schemeClr val="accent1">
                    <a:lumMod val="45000"/>
                    <a:lumOff val="55000"/>
                  </a:schemeClr>
                </a:gs>
                <a:gs pos="0">
                  <a:srgbClr val="BCCFE6"/>
                </a:gs>
                <a:gs pos="61000">
                  <a:schemeClr val="accent1">
                    <a:lumMod val="45000"/>
                    <a:lumOff val="55000"/>
                  </a:schemeClr>
                </a:gs>
                <a:gs pos="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1'!$H$29:$H$34</c:f>
              <c:strCache>
                <c:ptCount val="5"/>
                <c:pt idx="0">
                  <c:v>EBITDA</c:v>
                </c:pt>
                <c:pt idx="1">
                  <c:v>Gross Profit</c:v>
                </c:pt>
                <c:pt idx="2">
                  <c:v>Net Profit</c:v>
                </c:pt>
                <c:pt idx="3">
                  <c:v>Operating Expenses</c:v>
                </c:pt>
                <c:pt idx="4">
                  <c:v>Revenue</c:v>
                </c:pt>
              </c:strCache>
            </c:strRef>
          </c:cat>
          <c:val>
            <c:numRef>
              <c:f>'pivot 1'!$J$29:$J$34</c:f>
              <c:numCache>
                <c:formatCode>\$0.0,,"M"</c:formatCode>
                <c:ptCount val="5"/>
                <c:pt idx="0">
                  <c:v>946221</c:v>
                </c:pt>
                <c:pt idx="1">
                  <c:v>467861</c:v>
                </c:pt>
                <c:pt idx="2">
                  <c:v>237070</c:v>
                </c:pt>
                <c:pt idx="3">
                  <c:v>204747</c:v>
                </c:pt>
                <c:pt idx="4">
                  <c:v>505384</c:v>
                </c:pt>
              </c:numCache>
            </c:numRef>
          </c:val>
          <c:extLst>
            <c:ext xmlns:c16="http://schemas.microsoft.com/office/drawing/2014/chart" uri="{C3380CC4-5D6E-409C-BE32-E72D297353CC}">
              <c16:uniqueId val="{00000001-A69C-445C-9F09-7C83FA6924D1}"/>
            </c:ext>
          </c:extLst>
        </c:ser>
        <c:dLbls>
          <c:showLegendKey val="0"/>
          <c:showVal val="0"/>
          <c:showCatName val="0"/>
          <c:showSerName val="0"/>
          <c:showPercent val="0"/>
          <c:showBubbleSize val="0"/>
        </c:dLbls>
        <c:gapWidth val="70"/>
        <c:overlap val="-27"/>
        <c:axId val="1507775600"/>
        <c:axId val="1496732176"/>
      </c:barChart>
      <c:catAx>
        <c:axId val="150777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6732176"/>
        <c:crosses val="autoZero"/>
        <c:auto val="1"/>
        <c:lblAlgn val="ctr"/>
        <c:lblOffset val="100"/>
        <c:noMultiLvlLbl val="0"/>
      </c:catAx>
      <c:valAx>
        <c:axId val="1496732176"/>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07775600"/>
        <c:crosses val="autoZero"/>
        <c:crossBetween val="between"/>
      </c:valAx>
      <c:spPr>
        <a:noFill/>
        <a:ln>
          <a:noFill/>
        </a:ln>
        <a:effectLst/>
      </c:spPr>
    </c:plotArea>
    <c:legend>
      <c:legendPos val="t"/>
      <c:layout>
        <c:manualLayout>
          <c:xMode val="edge"/>
          <c:yMode val="edge"/>
          <c:x val="0.67341719484301976"/>
          <c:y val="5.0433082083963271E-2"/>
          <c:w val="0.29438685767113087"/>
          <c:h val="0.202066306789961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[KPI-Data.xlsx]pivot 1!PivotTable8</c:name>
    <c:fmtId val="2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a:solidFill>
                  <a:schemeClr val="tx1"/>
                </a:solidFill>
              </a:rPr>
              <a:t>ExpensesBreakdown</a:t>
            </a:r>
          </a:p>
        </c:rich>
      </c:tx>
      <c:layout>
        <c:manualLayout>
          <c:xMode val="edge"/>
          <c:yMode val="edge"/>
          <c:x val="0.39205344062348813"/>
          <c:y val="5.356618587877301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dLbl>
          <c:idx val="0"/>
          <c:layout>
            <c:manualLayout>
              <c:x val="2.287581633941705E-2"/>
              <c:y val="-2.1561116020011198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s>
    <c:plotArea>
      <c:layout>
        <c:manualLayout>
          <c:layoutTarget val="inner"/>
          <c:xMode val="edge"/>
          <c:yMode val="edge"/>
          <c:x val="9.4334097338783632E-2"/>
          <c:y val="0.12842279184111574"/>
          <c:w val="0.47365709258915512"/>
          <c:h val="0.84052291572210713"/>
        </c:manualLayout>
      </c:layout>
      <c:pieChart>
        <c:varyColors val="1"/>
        <c:ser>
          <c:idx val="0"/>
          <c:order val="0"/>
          <c:tx>
            <c:strRef>
              <c:f>'pivot 1'!$M$28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EC-4BE6-A8EC-223751952A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EC-4BE6-A8EC-223751952A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EC-4BE6-A8EC-223751952A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EC-4BE6-A8EC-223751952A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EEC-4BE6-A8EC-223751952A4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EEC-4BE6-A8EC-223751952A4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EEC-4BE6-A8EC-223751952A4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EEC-4BE6-A8EC-223751952A4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EEC-4BE6-A8EC-223751952A4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EEC-4BE6-A8EC-223751952A47}"/>
              </c:ext>
            </c:extLst>
          </c:dPt>
          <c:dLbls>
            <c:dLbl>
              <c:idx val="8"/>
              <c:layout>
                <c:manualLayout>
                  <c:x val="2.287581633941705E-2"/>
                  <c:y val="-2.1561116020011198E-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EEC-4BE6-A8EC-223751952A4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1'!$L$29:$L$39</c:f>
              <c:strCache>
                <c:ptCount val="10"/>
                <c:pt idx="0">
                  <c:v>Insurance</c:v>
                </c:pt>
                <c:pt idx="1">
                  <c:v>IT Expenses</c:v>
                </c:pt>
                <c:pt idx="2">
                  <c:v>Maintenance</c:v>
                </c:pt>
                <c:pt idx="3">
                  <c:v>Marketing</c:v>
                </c:pt>
                <c:pt idx="4">
                  <c:v>Office Supplies</c:v>
                </c:pt>
                <c:pt idx="5">
                  <c:v>Rent</c:v>
                </c:pt>
                <c:pt idx="6">
                  <c:v>Salaries</c:v>
                </c:pt>
                <c:pt idx="7">
                  <c:v>Training</c:v>
                </c:pt>
                <c:pt idx="8">
                  <c:v>Travel</c:v>
                </c:pt>
                <c:pt idx="9">
                  <c:v>Utilities</c:v>
                </c:pt>
              </c:strCache>
            </c:strRef>
          </c:cat>
          <c:val>
            <c:numRef>
              <c:f>'pivot 1'!$M$29:$M$39</c:f>
              <c:numCache>
                <c:formatCode>\$0.0,,"M"</c:formatCode>
                <c:ptCount val="10"/>
                <c:pt idx="0">
                  <c:v>238024</c:v>
                </c:pt>
                <c:pt idx="1">
                  <c:v>308786</c:v>
                </c:pt>
                <c:pt idx="2">
                  <c:v>347195</c:v>
                </c:pt>
                <c:pt idx="3">
                  <c:v>202714</c:v>
                </c:pt>
                <c:pt idx="4">
                  <c:v>345614</c:v>
                </c:pt>
                <c:pt idx="5">
                  <c:v>132318</c:v>
                </c:pt>
                <c:pt idx="6">
                  <c:v>736003</c:v>
                </c:pt>
                <c:pt idx="7">
                  <c:v>186028</c:v>
                </c:pt>
                <c:pt idx="8">
                  <c:v>128520</c:v>
                </c:pt>
                <c:pt idx="9">
                  <c:v>190793</c:v>
                </c:pt>
              </c:numCache>
            </c:numRef>
          </c:val>
          <c:extLst>
            <c:ext xmlns:c16="http://schemas.microsoft.com/office/drawing/2014/chart" uri="{C3380CC4-5D6E-409C-BE32-E72D297353CC}">
              <c16:uniqueId val="{00000014-7EEC-4BE6-A8EC-223751952A4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470797782970896"/>
          <c:y val="6.3827918863415448E-2"/>
          <c:w val="0.25389526391441808"/>
          <c:h val="0.85719314392016444"/>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[KPI-Data.xlsx]pivot 1!PivotTable9</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Customers By Revenue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56386701662291"/>
          <c:y val="0.14640892832203986"/>
          <c:w val="0.64989808473647648"/>
          <c:h val="0.74312338640070152"/>
        </c:manualLayout>
      </c:layout>
      <c:barChart>
        <c:barDir val="bar"/>
        <c:grouping val="clustered"/>
        <c:varyColors val="0"/>
        <c:ser>
          <c:idx val="0"/>
          <c:order val="0"/>
          <c:tx>
            <c:strRef>
              <c:f>'pivot 1'!$P$30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1'!$O$31:$O$41</c:f>
              <c:strCache>
                <c:ptCount val="10"/>
                <c:pt idx="0">
                  <c:v>Aarav Nair</c:v>
                </c:pt>
                <c:pt idx="1">
                  <c:v>Aarav Sharma</c:v>
                </c:pt>
                <c:pt idx="2">
                  <c:v>Aarav Yadav</c:v>
                </c:pt>
                <c:pt idx="3">
                  <c:v>Aisha Singh</c:v>
                </c:pt>
                <c:pt idx="4">
                  <c:v>Arjun Patel</c:v>
                </c:pt>
                <c:pt idx="5">
                  <c:v>Meera Joshi</c:v>
                </c:pt>
                <c:pt idx="6">
                  <c:v>Pooja Gupta</c:v>
                </c:pt>
                <c:pt idx="7">
                  <c:v>Rohan Rao</c:v>
                </c:pt>
                <c:pt idx="8">
                  <c:v>Sneha Rao</c:v>
                </c:pt>
                <c:pt idx="9">
                  <c:v>Sneha Singh</c:v>
                </c:pt>
              </c:strCache>
            </c:strRef>
          </c:cat>
          <c:val>
            <c:numRef>
              <c:f>'pivot 1'!$P$31:$P$41</c:f>
              <c:numCache>
                <c:formatCode>0.0,"K"</c:formatCode>
                <c:ptCount val="10"/>
                <c:pt idx="0">
                  <c:v>234970</c:v>
                </c:pt>
                <c:pt idx="1">
                  <c:v>206568</c:v>
                </c:pt>
                <c:pt idx="2">
                  <c:v>205566</c:v>
                </c:pt>
                <c:pt idx="3">
                  <c:v>213995</c:v>
                </c:pt>
                <c:pt idx="4">
                  <c:v>247926</c:v>
                </c:pt>
                <c:pt idx="5">
                  <c:v>230059</c:v>
                </c:pt>
                <c:pt idx="6">
                  <c:v>202015</c:v>
                </c:pt>
                <c:pt idx="7">
                  <c:v>232797</c:v>
                </c:pt>
                <c:pt idx="8">
                  <c:v>265668</c:v>
                </c:pt>
                <c:pt idx="9">
                  <c:v>217624</c:v>
                </c:pt>
              </c:numCache>
            </c:numRef>
          </c:val>
          <c:extLst>
            <c:ext xmlns:c16="http://schemas.microsoft.com/office/drawing/2014/chart" uri="{C3380CC4-5D6E-409C-BE32-E72D297353CC}">
              <c16:uniqueId val="{00000000-516D-446C-9153-99C82ADCB99B}"/>
            </c:ext>
          </c:extLst>
        </c:ser>
        <c:dLbls>
          <c:dLblPos val="outEnd"/>
          <c:showLegendKey val="0"/>
          <c:showVal val="1"/>
          <c:showCatName val="0"/>
          <c:showSerName val="0"/>
          <c:showPercent val="0"/>
          <c:showBubbleSize val="0"/>
        </c:dLbls>
        <c:gapWidth val="50"/>
        <c:axId val="1495648528"/>
        <c:axId val="1496733616"/>
      </c:barChart>
      <c:catAx>
        <c:axId val="149564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496733616"/>
        <c:crosses val="autoZero"/>
        <c:auto val="1"/>
        <c:lblAlgn val="ctr"/>
        <c:lblOffset val="100"/>
        <c:noMultiLvlLbl val="0"/>
      </c:catAx>
      <c:valAx>
        <c:axId val="1496733616"/>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9564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6.svg"/><Relationship Id="rId3" Type="http://schemas.openxmlformats.org/officeDocument/2006/relationships/image" Target="../media/image3.png"/><Relationship Id="rId21" Type="http://schemas.openxmlformats.org/officeDocument/2006/relationships/chart" Target="../charts/chart3.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5.png"/><Relationship Id="rId25" Type="http://schemas.openxmlformats.org/officeDocument/2006/relationships/image" Target="../media/image26.svg"/><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image" Target="../media/image18.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5.png"/><Relationship Id="rId5" Type="http://schemas.openxmlformats.org/officeDocument/2006/relationships/image" Target="../media/image5.png"/><Relationship Id="rId15" Type="http://schemas.openxmlformats.org/officeDocument/2006/relationships/chart" Target="../charts/chart1.xml"/><Relationship Id="rId23"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image" Target="../media/image17.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0.svg"/><Relationship Id="rId1" Type="http://schemas.openxmlformats.org/officeDocument/2006/relationships/image" Target="../media/image19.png"/></Relationships>
</file>

<file path=xl/drawings/_rels/drawing3.xml.rels><?xml version="1.0" encoding="UTF-8" standalone="yes"?>
<Relationships xmlns="http://schemas.openxmlformats.org/package/2006/relationships"><Relationship Id="rId2" Type="http://schemas.openxmlformats.org/officeDocument/2006/relationships/image" Target="../media/image22.svg"/><Relationship Id="rId1" Type="http://schemas.openxmlformats.org/officeDocument/2006/relationships/image" Target="../media/image2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4.svg"/><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0</xdr:col>
      <xdr:colOff>35034</xdr:colOff>
      <xdr:row>0</xdr:row>
      <xdr:rowOff>15240</xdr:rowOff>
    </xdr:from>
    <xdr:to>
      <xdr:col>2</xdr:col>
      <xdr:colOff>181970</xdr:colOff>
      <xdr:row>5</xdr:row>
      <xdr:rowOff>30480</xdr:rowOff>
    </xdr:to>
    <xdr:sp macro="" textlink="">
      <xdr:nvSpPr>
        <xdr:cNvPr id="2" name="Rectangle: Rounded Corners 1">
          <a:extLst>
            <a:ext uri="{FF2B5EF4-FFF2-40B4-BE49-F238E27FC236}">
              <a16:creationId xmlns:a16="http://schemas.microsoft.com/office/drawing/2014/main" id="{D8EFDAD0-E598-1CE0-F713-C10EE5874595}"/>
            </a:ext>
          </a:extLst>
        </xdr:cNvPr>
        <xdr:cNvSpPr/>
      </xdr:nvSpPr>
      <xdr:spPr>
        <a:xfrm>
          <a:off x="35034" y="15240"/>
          <a:ext cx="1375235" cy="925091"/>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299757</xdr:colOff>
      <xdr:row>0</xdr:row>
      <xdr:rowOff>11374</xdr:rowOff>
    </xdr:from>
    <xdr:to>
      <xdr:col>24</xdr:col>
      <xdr:colOff>557283</xdr:colOff>
      <xdr:row>5</xdr:row>
      <xdr:rowOff>28954</xdr:rowOff>
    </xdr:to>
    <xdr:sp macro="" textlink="">
      <xdr:nvSpPr>
        <xdr:cNvPr id="3" name="Rectangle: Rounded Corners 2">
          <a:extLst>
            <a:ext uri="{FF2B5EF4-FFF2-40B4-BE49-F238E27FC236}">
              <a16:creationId xmlns:a16="http://schemas.microsoft.com/office/drawing/2014/main" id="{335F3BC6-F7F6-459C-8132-F9E0BC8E56F4}"/>
            </a:ext>
          </a:extLst>
        </xdr:cNvPr>
        <xdr:cNvSpPr/>
      </xdr:nvSpPr>
      <xdr:spPr>
        <a:xfrm flipH="1">
          <a:off x="1528056" y="11374"/>
          <a:ext cx="14451197" cy="927431"/>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11372</xdr:colOff>
      <xdr:row>5</xdr:row>
      <xdr:rowOff>76200</xdr:rowOff>
    </xdr:from>
    <xdr:to>
      <xdr:col>2</xdr:col>
      <xdr:colOff>307073</xdr:colOff>
      <xdr:row>40</xdr:row>
      <xdr:rowOff>113732</xdr:rowOff>
    </xdr:to>
    <xdr:sp macro="" textlink="">
      <xdr:nvSpPr>
        <xdr:cNvPr id="4" name="Rectangle: Rounded Corners 3">
          <a:extLst>
            <a:ext uri="{FF2B5EF4-FFF2-40B4-BE49-F238E27FC236}">
              <a16:creationId xmlns:a16="http://schemas.microsoft.com/office/drawing/2014/main" id="{617D2207-89EE-42EA-A563-BE5147E51C3D}"/>
            </a:ext>
          </a:extLst>
        </xdr:cNvPr>
        <xdr:cNvSpPr/>
      </xdr:nvSpPr>
      <xdr:spPr>
        <a:xfrm>
          <a:off x="11372" y="986051"/>
          <a:ext cx="1524000" cy="6406487"/>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461894</xdr:colOff>
      <xdr:row>5</xdr:row>
      <xdr:rowOff>114300</xdr:rowOff>
    </xdr:from>
    <xdr:to>
      <xdr:col>10</xdr:col>
      <xdr:colOff>413776</xdr:colOff>
      <xdr:row>12</xdr:row>
      <xdr:rowOff>94180</xdr:rowOff>
    </xdr:to>
    <xdr:sp macro="" textlink="">
      <xdr:nvSpPr>
        <xdr:cNvPr id="5" name="Rectangle: Rounded Corners 4">
          <a:extLst>
            <a:ext uri="{FF2B5EF4-FFF2-40B4-BE49-F238E27FC236}">
              <a16:creationId xmlns:a16="http://schemas.microsoft.com/office/drawing/2014/main" id="{18B66BD5-82DE-458A-A803-9577331C6CF2}"/>
            </a:ext>
          </a:extLst>
        </xdr:cNvPr>
        <xdr:cNvSpPr/>
      </xdr:nvSpPr>
      <xdr:spPr>
        <a:xfrm>
          <a:off x="4146790" y="1024151"/>
          <a:ext cx="2408479" cy="1253671"/>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430359</xdr:colOff>
      <xdr:row>5</xdr:row>
      <xdr:rowOff>102927</xdr:rowOff>
    </xdr:from>
    <xdr:to>
      <xdr:col>6</xdr:col>
      <xdr:colOff>402277</xdr:colOff>
      <xdr:row>12</xdr:row>
      <xdr:rowOff>74245</xdr:rowOff>
    </xdr:to>
    <xdr:sp macro="" textlink="">
      <xdr:nvSpPr>
        <xdr:cNvPr id="6" name="Rectangle: Rounded Corners 5">
          <a:extLst>
            <a:ext uri="{FF2B5EF4-FFF2-40B4-BE49-F238E27FC236}">
              <a16:creationId xmlns:a16="http://schemas.microsoft.com/office/drawing/2014/main" id="{0B0ABC00-EA6F-4324-AE80-711E88D4F5A6}"/>
            </a:ext>
          </a:extLst>
        </xdr:cNvPr>
        <xdr:cNvSpPr/>
      </xdr:nvSpPr>
      <xdr:spPr>
        <a:xfrm>
          <a:off x="1658658" y="1012778"/>
          <a:ext cx="2428515" cy="1245109"/>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185072</xdr:colOff>
      <xdr:row>5</xdr:row>
      <xdr:rowOff>119534</xdr:rowOff>
    </xdr:from>
    <xdr:to>
      <xdr:col>19</xdr:col>
      <xdr:colOff>465275</xdr:colOff>
      <xdr:row>12</xdr:row>
      <xdr:rowOff>76725</xdr:rowOff>
    </xdr:to>
    <xdr:sp macro="" textlink="">
      <xdr:nvSpPr>
        <xdr:cNvPr id="8" name="Rectangle: Rounded Corners 7">
          <a:extLst>
            <a:ext uri="{FF2B5EF4-FFF2-40B4-BE49-F238E27FC236}">
              <a16:creationId xmlns:a16="http://schemas.microsoft.com/office/drawing/2014/main" id="{C6DE4388-1F92-41AC-89DD-1263842B4C40}"/>
            </a:ext>
          </a:extLst>
        </xdr:cNvPr>
        <xdr:cNvSpPr/>
      </xdr:nvSpPr>
      <xdr:spPr>
        <a:xfrm>
          <a:off x="9397311" y="1029385"/>
          <a:ext cx="2736800" cy="1230982"/>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467414</xdr:colOff>
      <xdr:row>5</xdr:row>
      <xdr:rowOff>118167</xdr:rowOff>
    </xdr:from>
    <xdr:to>
      <xdr:col>15</xdr:col>
      <xdr:colOff>90572</xdr:colOff>
      <xdr:row>12</xdr:row>
      <xdr:rowOff>82807</xdr:rowOff>
    </xdr:to>
    <xdr:sp macro="" textlink="">
      <xdr:nvSpPr>
        <xdr:cNvPr id="9" name="Rectangle: Rounded Corners 8">
          <a:extLst>
            <a:ext uri="{FF2B5EF4-FFF2-40B4-BE49-F238E27FC236}">
              <a16:creationId xmlns:a16="http://schemas.microsoft.com/office/drawing/2014/main" id="{737A456A-3286-4CF8-91D3-2BEAD15FBFCA}"/>
            </a:ext>
          </a:extLst>
        </xdr:cNvPr>
        <xdr:cNvSpPr/>
      </xdr:nvSpPr>
      <xdr:spPr>
        <a:xfrm>
          <a:off x="6608907" y="1028018"/>
          <a:ext cx="2693904" cy="1238431"/>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544887</xdr:colOff>
      <xdr:row>5</xdr:row>
      <xdr:rowOff>96517</xdr:rowOff>
    </xdr:from>
    <xdr:to>
      <xdr:col>24</xdr:col>
      <xdr:colOff>363940</xdr:colOff>
      <xdr:row>12</xdr:row>
      <xdr:rowOff>59273</xdr:rowOff>
    </xdr:to>
    <xdr:sp macro="" textlink="">
      <xdr:nvSpPr>
        <xdr:cNvPr id="10" name="Rectangle: Rounded Corners 9">
          <a:extLst>
            <a:ext uri="{FF2B5EF4-FFF2-40B4-BE49-F238E27FC236}">
              <a16:creationId xmlns:a16="http://schemas.microsoft.com/office/drawing/2014/main" id="{27423FFA-7595-49C7-8B59-4B83D9CB3872}"/>
            </a:ext>
          </a:extLst>
        </xdr:cNvPr>
        <xdr:cNvSpPr/>
      </xdr:nvSpPr>
      <xdr:spPr>
        <a:xfrm>
          <a:off x="12047955" y="1035969"/>
          <a:ext cx="4871218" cy="1277989"/>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375313</xdr:colOff>
      <xdr:row>12</xdr:row>
      <xdr:rowOff>170597</xdr:rowOff>
    </xdr:from>
    <xdr:to>
      <xdr:col>10</xdr:col>
      <xdr:colOff>45492</xdr:colOff>
      <xdr:row>25</xdr:row>
      <xdr:rowOff>119864</xdr:rowOff>
    </xdr:to>
    <xdr:sp macro="" textlink="">
      <xdr:nvSpPr>
        <xdr:cNvPr id="11" name="Rectangle: Rounded Corners 10">
          <a:extLst>
            <a:ext uri="{FF2B5EF4-FFF2-40B4-BE49-F238E27FC236}">
              <a16:creationId xmlns:a16="http://schemas.microsoft.com/office/drawing/2014/main" id="{DB9F1FA4-3FDE-4F6C-A779-24C489397058}"/>
            </a:ext>
          </a:extLst>
        </xdr:cNvPr>
        <xdr:cNvSpPr/>
      </xdr:nvSpPr>
      <xdr:spPr>
        <a:xfrm>
          <a:off x="1603612" y="2354239"/>
          <a:ext cx="4583373" cy="2314879"/>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113731</xdr:colOff>
      <xdr:row>12</xdr:row>
      <xdr:rowOff>126856</xdr:rowOff>
    </xdr:from>
    <xdr:to>
      <xdr:col>18</xdr:col>
      <xdr:colOff>227462</xdr:colOff>
      <xdr:row>25</xdr:row>
      <xdr:rowOff>94645</xdr:rowOff>
    </xdr:to>
    <xdr:sp macro="" textlink="">
      <xdr:nvSpPr>
        <xdr:cNvPr id="12" name="Rectangle: Rounded Corners 11">
          <a:extLst>
            <a:ext uri="{FF2B5EF4-FFF2-40B4-BE49-F238E27FC236}">
              <a16:creationId xmlns:a16="http://schemas.microsoft.com/office/drawing/2014/main" id="{E4C45C5A-C339-4C02-A274-3864AAC73F97}"/>
            </a:ext>
          </a:extLst>
        </xdr:cNvPr>
        <xdr:cNvSpPr/>
      </xdr:nvSpPr>
      <xdr:spPr>
        <a:xfrm>
          <a:off x="6255224" y="2310498"/>
          <a:ext cx="5026925" cy="2333401"/>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295702</xdr:colOff>
      <xdr:row>12</xdr:row>
      <xdr:rowOff>125743</xdr:rowOff>
    </xdr:from>
    <xdr:to>
      <xdr:col>24</xdr:col>
      <xdr:colOff>420806</xdr:colOff>
      <xdr:row>24</xdr:row>
      <xdr:rowOff>171114</xdr:rowOff>
    </xdr:to>
    <xdr:sp macro="" textlink="">
      <xdr:nvSpPr>
        <xdr:cNvPr id="13" name="Rectangle: Rounded Corners 12">
          <a:extLst>
            <a:ext uri="{FF2B5EF4-FFF2-40B4-BE49-F238E27FC236}">
              <a16:creationId xmlns:a16="http://schemas.microsoft.com/office/drawing/2014/main" id="{1DD03533-85EB-4606-B406-4AEC56E22770}"/>
            </a:ext>
          </a:extLst>
        </xdr:cNvPr>
        <xdr:cNvSpPr/>
      </xdr:nvSpPr>
      <xdr:spPr>
        <a:xfrm>
          <a:off x="11350389" y="2309385"/>
          <a:ext cx="4492387" cy="2229013"/>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363940</xdr:colOff>
      <xdr:row>26</xdr:row>
      <xdr:rowOff>56866</xdr:rowOff>
    </xdr:from>
    <xdr:to>
      <xdr:col>10</xdr:col>
      <xdr:colOff>204715</xdr:colOff>
      <xdr:row>40</xdr:row>
      <xdr:rowOff>100408</xdr:rowOff>
    </xdr:to>
    <xdr:sp macro="" textlink="">
      <xdr:nvSpPr>
        <xdr:cNvPr id="14" name="Rectangle: Rounded Corners 13">
          <a:extLst>
            <a:ext uri="{FF2B5EF4-FFF2-40B4-BE49-F238E27FC236}">
              <a16:creationId xmlns:a16="http://schemas.microsoft.com/office/drawing/2014/main" id="{4AFC4DE2-62FA-4508-ACF8-0A0DC9043F49}"/>
            </a:ext>
          </a:extLst>
        </xdr:cNvPr>
        <xdr:cNvSpPr/>
      </xdr:nvSpPr>
      <xdr:spPr>
        <a:xfrm>
          <a:off x="1592239" y="4788090"/>
          <a:ext cx="4753969" cy="2591124"/>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290295</xdr:colOff>
      <xdr:row>26</xdr:row>
      <xdr:rowOff>45005</xdr:rowOff>
    </xdr:from>
    <xdr:to>
      <xdr:col>18</xdr:col>
      <xdr:colOff>229251</xdr:colOff>
      <xdr:row>40</xdr:row>
      <xdr:rowOff>110319</xdr:rowOff>
    </xdr:to>
    <xdr:sp macro="" textlink="">
      <xdr:nvSpPr>
        <xdr:cNvPr id="15" name="Rectangle: Rounded Corners 14">
          <a:extLst>
            <a:ext uri="{FF2B5EF4-FFF2-40B4-BE49-F238E27FC236}">
              <a16:creationId xmlns:a16="http://schemas.microsoft.com/office/drawing/2014/main" id="{4545B3EA-84E0-4FE1-AF1F-19E91CA3B15C}"/>
            </a:ext>
          </a:extLst>
        </xdr:cNvPr>
        <xdr:cNvSpPr/>
      </xdr:nvSpPr>
      <xdr:spPr>
        <a:xfrm>
          <a:off x="6431788" y="4776229"/>
          <a:ext cx="4852150" cy="2612896"/>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318447</xdr:colOff>
      <xdr:row>25</xdr:row>
      <xdr:rowOff>126655</xdr:rowOff>
    </xdr:from>
    <xdr:to>
      <xdr:col>24</xdr:col>
      <xdr:colOff>534537</xdr:colOff>
      <xdr:row>40</xdr:row>
      <xdr:rowOff>77174</xdr:rowOff>
    </xdr:to>
    <xdr:sp macro="" textlink="">
      <xdr:nvSpPr>
        <xdr:cNvPr id="16" name="Rectangle: Rounded Corners 15">
          <a:extLst>
            <a:ext uri="{FF2B5EF4-FFF2-40B4-BE49-F238E27FC236}">
              <a16:creationId xmlns:a16="http://schemas.microsoft.com/office/drawing/2014/main" id="{66D9EB2D-2C92-42F8-A511-253280F48E82}"/>
            </a:ext>
          </a:extLst>
        </xdr:cNvPr>
        <xdr:cNvSpPr/>
      </xdr:nvSpPr>
      <xdr:spPr>
        <a:xfrm>
          <a:off x="11373134" y="4675909"/>
          <a:ext cx="4583373" cy="2680071"/>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556389</xdr:colOff>
      <xdr:row>0</xdr:row>
      <xdr:rowOff>45492</xdr:rowOff>
    </xdr:from>
    <xdr:to>
      <xdr:col>20</xdr:col>
      <xdr:colOff>380296</xdr:colOff>
      <xdr:row>4</xdr:row>
      <xdr:rowOff>68494</xdr:rowOff>
    </xdr:to>
    <xdr:sp macro="" textlink="">
      <xdr:nvSpPr>
        <xdr:cNvPr id="18" name="TextBox 17">
          <a:extLst>
            <a:ext uri="{FF2B5EF4-FFF2-40B4-BE49-F238E27FC236}">
              <a16:creationId xmlns:a16="http://schemas.microsoft.com/office/drawing/2014/main" id="{1FDD5744-15CF-FDFE-2C5F-796266B7CECE}"/>
            </a:ext>
          </a:extLst>
        </xdr:cNvPr>
        <xdr:cNvSpPr txBox="1"/>
      </xdr:nvSpPr>
      <xdr:spPr>
        <a:xfrm>
          <a:off x="3627135" y="45492"/>
          <a:ext cx="9263609" cy="750883"/>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solidFill>
                <a:schemeClr val="bg1"/>
              </a:solidFill>
              <a:latin typeface="Arial Black" panose="020B0A04020102020204" pitchFamily="34" charset="0"/>
            </a:rPr>
            <a:t>FINANCE KPI DASHBOARD</a:t>
          </a:r>
        </a:p>
      </xdr:txBody>
    </xdr:sp>
    <xdr:clientData/>
  </xdr:twoCellAnchor>
  <xdr:twoCellAnchor editAs="oneCell">
    <xdr:from>
      <xdr:col>4</xdr:col>
      <xdr:colOff>167914</xdr:colOff>
      <xdr:row>0</xdr:row>
      <xdr:rowOff>0</xdr:rowOff>
    </xdr:from>
    <xdr:to>
      <xdr:col>5</xdr:col>
      <xdr:colOff>474426</xdr:colOff>
      <xdr:row>5</xdr:row>
      <xdr:rowOff>15411</xdr:rowOff>
    </xdr:to>
    <xdr:pic>
      <xdr:nvPicPr>
        <xdr:cNvPr id="20" name="Graphic 19" descr="Presentation with bar chart with solid fill">
          <a:extLst>
            <a:ext uri="{FF2B5EF4-FFF2-40B4-BE49-F238E27FC236}">
              <a16:creationId xmlns:a16="http://schemas.microsoft.com/office/drawing/2014/main" id="{FA6465CF-917D-54B5-9E1A-D23F745D4C0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24511" y="0"/>
          <a:ext cx="920661" cy="925262"/>
        </a:xfrm>
        <a:prstGeom prst="rect">
          <a:avLst/>
        </a:prstGeom>
      </xdr:spPr>
    </xdr:pic>
    <xdr:clientData/>
  </xdr:twoCellAnchor>
  <xdr:twoCellAnchor editAs="oneCell">
    <xdr:from>
      <xdr:col>22</xdr:col>
      <xdr:colOff>154497</xdr:colOff>
      <xdr:row>0</xdr:row>
      <xdr:rowOff>11373</xdr:rowOff>
    </xdr:from>
    <xdr:to>
      <xdr:col>23</xdr:col>
      <xdr:colOff>17724</xdr:colOff>
      <xdr:row>5</xdr:row>
      <xdr:rowOff>26784</xdr:rowOff>
    </xdr:to>
    <xdr:pic macro="[0]!sjdfhkjd">
      <xdr:nvPicPr>
        <xdr:cNvPr id="22" name="Graphic 21" descr="Arrow circle with solid fill">
          <a:extLst>
            <a:ext uri="{FF2B5EF4-FFF2-40B4-BE49-F238E27FC236}">
              <a16:creationId xmlns:a16="http://schemas.microsoft.com/office/drawing/2014/main" id="{E1D12C96-F98F-135F-4600-83F62CA502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169" y="11373"/>
          <a:ext cx="919525" cy="925262"/>
        </a:xfrm>
        <a:prstGeom prst="rect">
          <a:avLst/>
        </a:prstGeom>
      </xdr:spPr>
    </xdr:pic>
    <xdr:clientData/>
  </xdr:twoCellAnchor>
  <xdr:twoCellAnchor editAs="oneCell">
    <xdr:from>
      <xdr:col>20</xdr:col>
      <xdr:colOff>620262</xdr:colOff>
      <xdr:row>0</xdr:row>
      <xdr:rowOff>0</xdr:rowOff>
    </xdr:from>
    <xdr:to>
      <xdr:col>21</xdr:col>
      <xdr:colOff>635172</xdr:colOff>
      <xdr:row>5</xdr:row>
      <xdr:rowOff>15411</xdr:rowOff>
    </xdr:to>
    <xdr:pic>
      <xdr:nvPicPr>
        <xdr:cNvPr id="24" name="Graphic 23" descr="Monitor with solid fill">
          <a:extLst>
            <a:ext uri="{FF2B5EF4-FFF2-40B4-BE49-F238E27FC236}">
              <a16:creationId xmlns:a16="http://schemas.microsoft.com/office/drawing/2014/main" id="{56ED38A1-7F0D-FD43-6643-2EC9C770B98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130710" y="0"/>
          <a:ext cx="922374" cy="925262"/>
        </a:xfrm>
        <a:prstGeom prst="rect">
          <a:avLst/>
        </a:prstGeom>
      </xdr:spPr>
    </xdr:pic>
    <xdr:clientData/>
  </xdr:twoCellAnchor>
  <xdr:twoCellAnchor editAs="oneCell">
    <xdr:from>
      <xdr:col>6</xdr:col>
      <xdr:colOff>479331</xdr:colOff>
      <xdr:row>5</xdr:row>
      <xdr:rowOff>125616</xdr:rowOff>
    </xdr:from>
    <xdr:to>
      <xdr:col>7</xdr:col>
      <xdr:colOff>544888</xdr:colOff>
      <xdr:row>8</xdr:row>
      <xdr:rowOff>117054</xdr:rowOff>
    </xdr:to>
    <xdr:pic>
      <xdr:nvPicPr>
        <xdr:cNvPr id="32" name="Graphic 31" descr="Bar graph with upward trend with solid fill">
          <a:extLst>
            <a:ext uri="{FF2B5EF4-FFF2-40B4-BE49-F238E27FC236}">
              <a16:creationId xmlns:a16="http://schemas.microsoft.com/office/drawing/2014/main" id="{8F5E6A93-07E5-B8E4-6932-1A03D2B7A8F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64227" y="1035467"/>
          <a:ext cx="679706" cy="537348"/>
        </a:xfrm>
        <a:prstGeom prst="rect">
          <a:avLst/>
        </a:prstGeom>
      </xdr:spPr>
    </xdr:pic>
    <xdr:clientData/>
  </xdr:twoCellAnchor>
  <xdr:twoCellAnchor editAs="oneCell">
    <xdr:from>
      <xdr:col>15</xdr:col>
      <xdr:colOff>183269</xdr:colOff>
      <xdr:row>5</xdr:row>
      <xdr:rowOff>56790</xdr:rowOff>
    </xdr:from>
    <xdr:to>
      <xdr:col>16</xdr:col>
      <xdr:colOff>140459</xdr:colOff>
      <xdr:row>8</xdr:row>
      <xdr:rowOff>142409</xdr:rowOff>
    </xdr:to>
    <xdr:pic>
      <xdr:nvPicPr>
        <xdr:cNvPr id="36" name="Graphic 35" descr="Users with solid fill">
          <a:extLst>
            <a:ext uri="{FF2B5EF4-FFF2-40B4-BE49-F238E27FC236}">
              <a16:creationId xmlns:a16="http://schemas.microsoft.com/office/drawing/2014/main" id="{30C2CEE4-287D-8953-831F-FD26257B88E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395508" y="966641"/>
          <a:ext cx="571339" cy="631529"/>
        </a:xfrm>
        <a:prstGeom prst="rect">
          <a:avLst/>
        </a:prstGeom>
      </xdr:spPr>
    </xdr:pic>
    <xdr:clientData/>
  </xdr:twoCellAnchor>
  <xdr:twoCellAnchor editAs="oneCell">
    <xdr:from>
      <xdr:col>10</xdr:col>
      <xdr:colOff>516517</xdr:colOff>
      <xdr:row>5</xdr:row>
      <xdr:rowOff>65812</xdr:rowOff>
    </xdr:from>
    <xdr:to>
      <xdr:col>11</xdr:col>
      <xdr:colOff>482272</xdr:colOff>
      <xdr:row>8</xdr:row>
      <xdr:rowOff>65812</xdr:rowOff>
    </xdr:to>
    <xdr:pic>
      <xdr:nvPicPr>
        <xdr:cNvPr id="38" name="Graphic 37" descr="Piggy Bank with solid fill">
          <a:extLst>
            <a:ext uri="{FF2B5EF4-FFF2-40B4-BE49-F238E27FC236}">
              <a16:creationId xmlns:a16="http://schemas.microsoft.com/office/drawing/2014/main" id="{E46183B4-39A5-6C38-8E86-6D9AD29EF42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658010" y="975663"/>
          <a:ext cx="579904" cy="545910"/>
        </a:xfrm>
        <a:prstGeom prst="rect">
          <a:avLst/>
        </a:prstGeom>
      </xdr:spPr>
    </xdr:pic>
    <xdr:clientData/>
  </xdr:twoCellAnchor>
  <xdr:twoCellAnchor editAs="oneCell">
    <xdr:from>
      <xdr:col>19</xdr:col>
      <xdr:colOff>509983</xdr:colOff>
      <xdr:row>5</xdr:row>
      <xdr:rowOff>68495</xdr:rowOff>
    </xdr:from>
    <xdr:to>
      <xdr:col>20</xdr:col>
      <xdr:colOff>590745</xdr:colOff>
      <xdr:row>9</xdr:row>
      <xdr:rowOff>128428</xdr:rowOff>
    </xdr:to>
    <xdr:pic>
      <xdr:nvPicPr>
        <xdr:cNvPr id="40" name="Graphic 39" descr="In love face outline with solid fill">
          <a:extLst>
            <a:ext uri="{FF2B5EF4-FFF2-40B4-BE49-F238E27FC236}">
              <a16:creationId xmlns:a16="http://schemas.microsoft.com/office/drawing/2014/main" id="{0AC46B19-D41F-8975-EB38-65EC639E6C7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178819" y="978346"/>
          <a:ext cx="922374" cy="787813"/>
        </a:xfrm>
        <a:prstGeom prst="rect">
          <a:avLst/>
        </a:prstGeom>
      </xdr:spPr>
    </xdr:pic>
    <xdr:clientData/>
  </xdr:twoCellAnchor>
  <xdr:twoCellAnchor>
    <xdr:from>
      <xdr:col>3</xdr:col>
      <xdr:colOff>373780</xdr:colOff>
      <xdr:row>5</xdr:row>
      <xdr:rowOff>133665</xdr:rowOff>
    </xdr:from>
    <xdr:to>
      <xdr:col>6</xdr:col>
      <xdr:colOff>302712</xdr:colOff>
      <xdr:row>8</xdr:row>
      <xdr:rowOff>159351</xdr:rowOff>
    </xdr:to>
    <xdr:sp macro="" textlink="">
      <xdr:nvSpPr>
        <xdr:cNvPr id="41" name="Rectangle 40">
          <a:extLst>
            <a:ext uri="{FF2B5EF4-FFF2-40B4-BE49-F238E27FC236}">
              <a16:creationId xmlns:a16="http://schemas.microsoft.com/office/drawing/2014/main" id="{6264A2D4-77B0-6CD6-CA50-511D47E2A35A}"/>
            </a:ext>
          </a:extLst>
        </xdr:cNvPr>
        <xdr:cNvSpPr/>
      </xdr:nvSpPr>
      <xdr:spPr>
        <a:xfrm>
          <a:off x="2190054" y="1073117"/>
          <a:ext cx="1745206" cy="5893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rgbClr val="00B050"/>
              </a:solidFill>
            </a:rPr>
            <a:t>REVENUE</a:t>
          </a:r>
        </a:p>
      </xdr:txBody>
    </xdr:sp>
    <xdr:clientData/>
  </xdr:twoCellAnchor>
  <xdr:twoCellAnchor>
    <xdr:from>
      <xdr:col>7</xdr:col>
      <xdr:colOff>142612</xdr:colOff>
      <xdr:row>5</xdr:row>
      <xdr:rowOff>145677</xdr:rowOff>
    </xdr:from>
    <xdr:to>
      <xdr:col>10</xdr:col>
      <xdr:colOff>271039</xdr:colOff>
      <xdr:row>9</xdr:row>
      <xdr:rowOff>8689</xdr:rowOff>
    </xdr:to>
    <xdr:sp macro="" textlink="">
      <xdr:nvSpPr>
        <xdr:cNvPr id="3073" name="Text Box 1">
          <a:extLst>
            <a:ext uri="{FF2B5EF4-FFF2-40B4-BE49-F238E27FC236}">
              <a16:creationId xmlns:a16="http://schemas.microsoft.com/office/drawing/2014/main" id="{437899ED-DD7F-D595-ABF4-29873EED119A}"/>
            </a:ext>
          </a:extLst>
        </xdr:cNvPr>
        <xdr:cNvSpPr txBox="1">
          <a:spLocks noChangeArrowheads="1"/>
        </xdr:cNvSpPr>
      </xdr:nvSpPr>
      <xdr:spPr bwMode="auto">
        <a:xfrm>
          <a:off x="4441657" y="1055528"/>
          <a:ext cx="1970875" cy="590892"/>
        </a:xfrm>
        <a:prstGeom prst="rect">
          <a:avLst/>
        </a:prstGeom>
        <a:noFill/>
        <a:ln w="9525">
          <a:noFill/>
          <a:miter lim="800000"/>
          <a:headEnd/>
          <a:tailEnd/>
        </a:ln>
      </xdr:spPr>
      <xdr:txBody>
        <a:bodyPr vertOverflow="clip" wrap="square" lIns="27432" tIns="27432" rIns="0" bIns="0" anchor="ctr" upright="1"/>
        <a:lstStyle/>
        <a:p>
          <a:pPr algn="ctr" rtl="0">
            <a:defRPr sz="1000"/>
          </a:pPr>
          <a:r>
            <a:rPr lang="en-IN" sz="2800" b="1" i="0" u="none" strike="noStrike" baseline="0">
              <a:solidFill>
                <a:schemeClr val="tx2">
                  <a:lumMod val="60000"/>
                  <a:lumOff val="40000"/>
                </a:schemeClr>
              </a:solidFill>
              <a:latin typeface="Calibri"/>
              <a:ea typeface="Calibri"/>
              <a:cs typeface="Calibri"/>
            </a:rPr>
            <a:t>PROFIT</a:t>
          </a:r>
          <a:endParaRPr lang="en-IN" sz="3200" b="1" i="0" u="none" strike="noStrike" baseline="0">
            <a:solidFill>
              <a:schemeClr val="tx2">
                <a:lumMod val="60000"/>
                <a:lumOff val="40000"/>
              </a:schemeClr>
            </a:solidFill>
            <a:latin typeface="Calibri"/>
            <a:ea typeface="Calibri"/>
            <a:cs typeface="Calibri"/>
          </a:endParaRPr>
        </a:p>
      </xdr:txBody>
    </xdr:sp>
    <xdr:clientData/>
  </xdr:twoCellAnchor>
  <xdr:twoCellAnchor>
    <xdr:from>
      <xdr:col>11</xdr:col>
      <xdr:colOff>405260</xdr:colOff>
      <xdr:row>6</xdr:row>
      <xdr:rowOff>20063</xdr:rowOff>
    </xdr:from>
    <xdr:to>
      <xdr:col>14</xdr:col>
      <xdr:colOff>251147</xdr:colOff>
      <xdr:row>9</xdr:row>
      <xdr:rowOff>97118</xdr:rowOff>
    </xdr:to>
    <xdr:sp macro="" textlink="">
      <xdr:nvSpPr>
        <xdr:cNvPr id="46" name="Rectangle 45">
          <a:extLst>
            <a:ext uri="{FF2B5EF4-FFF2-40B4-BE49-F238E27FC236}">
              <a16:creationId xmlns:a16="http://schemas.microsoft.com/office/drawing/2014/main" id="{8B13C17F-38FA-7DCF-3063-E4EB2FEA8FC3}"/>
            </a:ext>
          </a:extLst>
        </xdr:cNvPr>
        <xdr:cNvSpPr/>
      </xdr:nvSpPr>
      <xdr:spPr>
        <a:xfrm>
          <a:off x="7160902" y="1111884"/>
          <a:ext cx="1688335" cy="6229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rgbClr val="7030A0"/>
              </a:solidFill>
            </a:rPr>
            <a:t>EXPENSES</a:t>
          </a:r>
          <a:endParaRPr lang="en-IN" sz="1200" b="1">
            <a:solidFill>
              <a:srgbClr val="7030A0"/>
            </a:solidFill>
          </a:endParaRPr>
        </a:p>
      </xdr:txBody>
    </xdr:sp>
    <xdr:clientData/>
  </xdr:twoCellAnchor>
  <xdr:twoCellAnchor>
    <xdr:from>
      <xdr:col>16</xdr:col>
      <xdr:colOff>117382</xdr:colOff>
      <xdr:row>5</xdr:row>
      <xdr:rowOff>172308</xdr:rowOff>
    </xdr:from>
    <xdr:to>
      <xdr:col>19</xdr:col>
      <xdr:colOff>74573</xdr:colOff>
      <xdr:row>9</xdr:row>
      <xdr:rowOff>100241</xdr:rowOff>
    </xdr:to>
    <xdr:sp macro="" textlink="">
      <xdr:nvSpPr>
        <xdr:cNvPr id="47" name="Rectangle 46">
          <a:extLst>
            <a:ext uri="{FF2B5EF4-FFF2-40B4-BE49-F238E27FC236}">
              <a16:creationId xmlns:a16="http://schemas.microsoft.com/office/drawing/2014/main" id="{38E131EF-39E3-4A80-AB86-5DFDEB3ECB23}"/>
            </a:ext>
          </a:extLst>
        </xdr:cNvPr>
        <xdr:cNvSpPr/>
      </xdr:nvSpPr>
      <xdr:spPr>
        <a:xfrm>
          <a:off x="9943770" y="1082159"/>
          <a:ext cx="1799639" cy="6558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accent6"/>
              </a:solidFill>
            </a:rPr>
            <a:t>CUSTOMERS</a:t>
          </a:r>
          <a:endParaRPr lang="en-IN" sz="1200" b="1">
            <a:solidFill>
              <a:schemeClr val="accent6"/>
            </a:solidFill>
          </a:endParaRPr>
        </a:p>
      </xdr:txBody>
    </xdr:sp>
    <xdr:clientData/>
  </xdr:twoCellAnchor>
  <xdr:twoCellAnchor>
    <xdr:from>
      <xdr:col>20</xdr:col>
      <xdr:colOff>213154</xdr:colOff>
      <xdr:row>5</xdr:row>
      <xdr:rowOff>138874</xdr:rowOff>
    </xdr:from>
    <xdr:to>
      <xdr:col>23</xdr:col>
      <xdr:colOff>162282</xdr:colOff>
      <xdr:row>9</xdr:row>
      <xdr:rowOff>72092</xdr:rowOff>
    </xdr:to>
    <xdr:sp macro="" textlink="">
      <xdr:nvSpPr>
        <xdr:cNvPr id="48" name="Rectangle 47">
          <a:extLst>
            <a:ext uri="{FF2B5EF4-FFF2-40B4-BE49-F238E27FC236}">
              <a16:creationId xmlns:a16="http://schemas.microsoft.com/office/drawing/2014/main" id="{3529D237-1927-4882-BBCF-F49613E06DF9}"/>
            </a:ext>
          </a:extLst>
        </xdr:cNvPr>
        <xdr:cNvSpPr/>
      </xdr:nvSpPr>
      <xdr:spPr>
        <a:xfrm>
          <a:off x="12723602" y="1048725"/>
          <a:ext cx="2246501" cy="6610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SCORES</a:t>
          </a:r>
          <a:endParaRPr lang="en-IN" sz="1200" b="1">
            <a:solidFill>
              <a:schemeClr val="tx1"/>
            </a:solidFill>
          </a:endParaRPr>
        </a:p>
      </xdr:txBody>
    </xdr:sp>
    <xdr:clientData/>
  </xdr:twoCellAnchor>
  <xdr:twoCellAnchor>
    <xdr:from>
      <xdr:col>3</xdr:col>
      <xdr:colOff>282156</xdr:colOff>
      <xdr:row>8</xdr:row>
      <xdr:rowOff>95407</xdr:rowOff>
    </xdr:from>
    <xdr:to>
      <xdr:col>6</xdr:col>
      <xdr:colOff>307840</xdr:colOff>
      <xdr:row>11</xdr:row>
      <xdr:rowOff>121093</xdr:rowOff>
    </xdr:to>
    <xdr:sp macro="" textlink="'pivot 1'!B11">
      <xdr:nvSpPr>
        <xdr:cNvPr id="49" name="Rectangle 48">
          <a:extLst>
            <a:ext uri="{FF2B5EF4-FFF2-40B4-BE49-F238E27FC236}">
              <a16:creationId xmlns:a16="http://schemas.microsoft.com/office/drawing/2014/main" id="{8B8F025F-EB36-4D66-837D-873EFEE4B715}"/>
            </a:ext>
          </a:extLst>
        </xdr:cNvPr>
        <xdr:cNvSpPr/>
      </xdr:nvSpPr>
      <xdr:spPr>
        <a:xfrm>
          <a:off x="2124604" y="1551168"/>
          <a:ext cx="1868132" cy="571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BB4DA3-9345-4AD3-8027-C1D129F28C2A}" type="TxLink">
            <a:rPr lang="en-US" sz="2800" b="1" i="0" u="none" strike="noStrike">
              <a:solidFill>
                <a:srgbClr val="00B050"/>
              </a:solidFill>
              <a:latin typeface="Calibri"/>
              <a:ea typeface="Calibri"/>
              <a:cs typeface="Calibri"/>
            </a:rPr>
            <a:pPr algn="ctr"/>
            <a:t>$5.2M</a:t>
          </a:fld>
          <a:endParaRPr lang="en-IN" sz="6000" b="1">
            <a:solidFill>
              <a:srgbClr val="00B050"/>
            </a:solidFill>
          </a:endParaRPr>
        </a:p>
      </xdr:txBody>
    </xdr:sp>
    <xdr:clientData/>
  </xdr:twoCellAnchor>
  <xdr:twoCellAnchor>
    <xdr:from>
      <xdr:col>7</xdr:col>
      <xdr:colOff>243385</xdr:colOff>
      <xdr:row>8</xdr:row>
      <xdr:rowOff>150560</xdr:rowOff>
    </xdr:from>
    <xdr:to>
      <xdr:col>10</xdr:col>
      <xdr:colOff>269069</xdr:colOff>
      <xdr:row>11</xdr:row>
      <xdr:rowOff>176246</xdr:rowOff>
    </xdr:to>
    <xdr:sp macro="" textlink="'pivot 1'!B12">
      <xdr:nvSpPr>
        <xdr:cNvPr id="50" name="Rectangle 49">
          <a:extLst>
            <a:ext uri="{FF2B5EF4-FFF2-40B4-BE49-F238E27FC236}">
              <a16:creationId xmlns:a16="http://schemas.microsoft.com/office/drawing/2014/main" id="{19F72856-13B3-4C27-81A9-60ED8F8BF3D8}"/>
            </a:ext>
          </a:extLst>
        </xdr:cNvPr>
        <xdr:cNvSpPr/>
      </xdr:nvSpPr>
      <xdr:spPr>
        <a:xfrm>
          <a:off x="4542430" y="1606321"/>
          <a:ext cx="1868132" cy="571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C8C392B-9A5D-4995-B981-C81A15ADB5C0}" type="TxLink">
            <a:rPr lang="en-US" sz="2800" b="1" i="0" u="none" strike="noStrike">
              <a:solidFill>
                <a:schemeClr val="tx2">
                  <a:lumMod val="60000"/>
                  <a:lumOff val="40000"/>
                </a:schemeClr>
              </a:solidFill>
              <a:latin typeface="Calibri"/>
              <a:ea typeface="Calibri"/>
              <a:cs typeface="Calibri"/>
            </a:rPr>
            <a:pPr marL="0" indent="0" algn="ctr"/>
            <a:t>$2.4M</a:t>
          </a:fld>
          <a:endParaRPr lang="en-IN" sz="2800" b="1" i="0" u="none" strike="noStrike">
            <a:solidFill>
              <a:schemeClr val="tx2">
                <a:lumMod val="60000"/>
                <a:lumOff val="40000"/>
              </a:schemeClr>
            </a:solidFill>
            <a:latin typeface="Calibri"/>
            <a:ea typeface="Calibri"/>
            <a:cs typeface="Calibri"/>
          </a:endParaRPr>
        </a:p>
      </xdr:txBody>
    </xdr:sp>
    <xdr:clientData/>
  </xdr:twoCellAnchor>
  <xdr:twoCellAnchor>
    <xdr:from>
      <xdr:col>11</xdr:col>
      <xdr:colOff>211919</xdr:colOff>
      <xdr:row>8</xdr:row>
      <xdr:rowOff>137475</xdr:rowOff>
    </xdr:from>
    <xdr:to>
      <xdr:col>14</xdr:col>
      <xdr:colOff>468772</xdr:colOff>
      <xdr:row>11</xdr:row>
      <xdr:rowOff>163161</xdr:rowOff>
    </xdr:to>
    <xdr:sp macro="" textlink="'pivot 1'!B13">
      <xdr:nvSpPr>
        <xdr:cNvPr id="51" name="Rectangle 50">
          <a:extLst>
            <a:ext uri="{FF2B5EF4-FFF2-40B4-BE49-F238E27FC236}">
              <a16:creationId xmlns:a16="http://schemas.microsoft.com/office/drawing/2014/main" id="{54307D59-76F6-41A2-B081-B349B994B744}"/>
            </a:ext>
          </a:extLst>
        </xdr:cNvPr>
        <xdr:cNvSpPr/>
      </xdr:nvSpPr>
      <xdr:spPr>
        <a:xfrm>
          <a:off x="6967561" y="1593236"/>
          <a:ext cx="2099301" cy="571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86E61D8-51D9-4AA5-909F-CFEAA62F9852}" type="TxLink">
            <a:rPr lang="en-US" sz="2800" b="1" i="0" u="none" strike="noStrike">
              <a:solidFill>
                <a:srgbClr val="7030A0"/>
              </a:solidFill>
              <a:latin typeface="Calibri"/>
              <a:ea typeface="Calibri"/>
              <a:cs typeface="Calibri"/>
            </a:rPr>
            <a:pPr marL="0" indent="0" algn="ctr"/>
            <a:t>$2.8M</a:t>
          </a:fld>
          <a:endParaRPr lang="en-IN" sz="2800" b="1" i="0" u="none" strike="noStrike">
            <a:solidFill>
              <a:srgbClr val="7030A0"/>
            </a:solidFill>
            <a:latin typeface="Calibri"/>
            <a:ea typeface="Calibri"/>
            <a:cs typeface="Calibri"/>
          </a:endParaRPr>
        </a:p>
      </xdr:txBody>
    </xdr:sp>
    <xdr:clientData/>
  </xdr:twoCellAnchor>
  <xdr:twoCellAnchor>
    <xdr:from>
      <xdr:col>15</xdr:col>
      <xdr:colOff>546818</xdr:colOff>
      <xdr:row>8</xdr:row>
      <xdr:rowOff>92751</xdr:rowOff>
    </xdr:from>
    <xdr:to>
      <xdr:col>19</xdr:col>
      <xdr:colOff>189523</xdr:colOff>
      <xdr:row>11</xdr:row>
      <xdr:rowOff>118437</xdr:rowOff>
    </xdr:to>
    <xdr:sp macro="" textlink="'pivot 1'!B14">
      <xdr:nvSpPr>
        <xdr:cNvPr id="52" name="Rectangle 51">
          <a:extLst>
            <a:ext uri="{FF2B5EF4-FFF2-40B4-BE49-F238E27FC236}">
              <a16:creationId xmlns:a16="http://schemas.microsoft.com/office/drawing/2014/main" id="{744B8F7D-A686-44D2-84EF-87A99DB9D4D0}"/>
            </a:ext>
          </a:extLst>
        </xdr:cNvPr>
        <xdr:cNvSpPr/>
      </xdr:nvSpPr>
      <xdr:spPr>
        <a:xfrm>
          <a:off x="9759057" y="1548512"/>
          <a:ext cx="2099302" cy="571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5AE1216-7B12-4550-9CCB-A3D848A8A5FE}" type="TxLink">
            <a:rPr lang="en-US" sz="2800" b="1" i="0" u="none" strike="noStrike">
              <a:solidFill>
                <a:schemeClr val="accent6"/>
              </a:solidFill>
              <a:latin typeface="Calibri"/>
              <a:ea typeface="Calibri"/>
              <a:cs typeface="Calibri"/>
            </a:rPr>
            <a:pPr marL="0" indent="0" algn="ctr"/>
            <a:t> 26,604 </a:t>
          </a:fld>
          <a:endParaRPr lang="en-IN" sz="6000" b="1" i="0" u="none" strike="noStrike">
            <a:solidFill>
              <a:schemeClr val="accent6"/>
            </a:solidFill>
            <a:latin typeface="Calibri"/>
            <a:ea typeface="Calibri"/>
            <a:cs typeface="Calibri"/>
          </a:endParaRPr>
        </a:p>
      </xdr:txBody>
    </xdr:sp>
    <xdr:clientData/>
  </xdr:twoCellAnchor>
  <xdr:twoCellAnchor>
    <xdr:from>
      <xdr:col>20</xdr:col>
      <xdr:colOff>188172</xdr:colOff>
      <xdr:row>8</xdr:row>
      <xdr:rowOff>102411</xdr:rowOff>
    </xdr:from>
    <xdr:to>
      <xdr:col>23</xdr:col>
      <xdr:colOff>454924</xdr:colOff>
      <xdr:row>11</xdr:row>
      <xdr:rowOff>128097</xdr:rowOff>
    </xdr:to>
    <xdr:sp macro="" textlink="'pivot 1'!B15">
      <xdr:nvSpPr>
        <xdr:cNvPr id="53" name="Rectangle 52">
          <a:extLst>
            <a:ext uri="{FF2B5EF4-FFF2-40B4-BE49-F238E27FC236}">
              <a16:creationId xmlns:a16="http://schemas.microsoft.com/office/drawing/2014/main" id="{B3240D5B-6F4E-484D-AA4F-E6466C9392D2}"/>
            </a:ext>
          </a:extLst>
        </xdr:cNvPr>
        <xdr:cNvSpPr/>
      </xdr:nvSpPr>
      <xdr:spPr>
        <a:xfrm>
          <a:off x="12698620" y="1558172"/>
          <a:ext cx="2564125" cy="571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5BD7DD6-5358-4C0B-A275-43D4B7E66F9E}" type="TxLink">
            <a:rPr lang="en-US" sz="2800" b="1" i="0" u="none" strike="noStrike">
              <a:solidFill>
                <a:srgbClr val="000000"/>
              </a:solidFill>
              <a:latin typeface="Calibri"/>
              <a:ea typeface="Calibri"/>
              <a:cs typeface="Calibri"/>
            </a:rPr>
            <a:pPr marL="0" indent="0" algn="ctr"/>
            <a:t>87.95</a:t>
          </a:fld>
          <a:endParaRPr lang="en-IN" sz="13800" b="1" i="0" u="none" strike="noStrike">
            <a:solidFill>
              <a:schemeClr val="accent6"/>
            </a:solidFill>
            <a:latin typeface="Calibri"/>
            <a:ea typeface="Calibri"/>
            <a:cs typeface="Calibri"/>
          </a:endParaRPr>
        </a:p>
      </xdr:txBody>
    </xdr:sp>
    <xdr:clientData/>
  </xdr:twoCellAnchor>
  <xdr:twoCellAnchor>
    <xdr:from>
      <xdr:col>2</xdr:col>
      <xdr:colOff>375314</xdr:colOff>
      <xdr:row>13</xdr:row>
      <xdr:rowOff>25683</xdr:rowOff>
    </xdr:from>
    <xdr:to>
      <xdr:col>10</xdr:col>
      <xdr:colOff>22746</xdr:colOff>
      <xdr:row>25</xdr:row>
      <xdr:rowOff>111301</xdr:rowOff>
    </xdr:to>
    <xdr:graphicFrame macro="">
      <xdr:nvGraphicFramePr>
        <xdr:cNvPr id="56" name="Chart 55">
          <a:extLst>
            <a:ext uri="{FF2B5EF4-FFF2-40B4-BE49-F238E27FC236}">
              <a16:creationId xmlns:a16="http://schemas.microsoft.com/office/drawing/2014/main" id="{4EF4E78B-9563-448B-A4B2-AFB846912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500418</xdr:colOff>
      <xdr:row>12</xdr:row>
      <xdr:rowOff>171234</xdr:rowOff>
    </xdr:from>
    <xdr:to>
      <xdr:col>18</xdr:col>
      <xdr:colOff>147851</xdr:colOff>
      <xdr:row>25</xdr:row>
      <xdr:rowOff>43792</xdr:rowOff>
    </xdr:to>
    <xdr:graphicFrame macro="">
      <xdr:nvGraphicFramePr>
        <xdr:cNvPr id="57" name="Chart 56">
          <a:extLst>
            <a:ext uri="{FF2B5EF4-FFF2-40B4-BE49-F238E27FC236}">
              <a16:creationId xmlns:a16="http://schemas.microsoft.com/office/drawing/2014/main" id="{B29B5E2E-F857-4473-87EA-5596C0C3E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10</xdr:col>
      <xdr:colOff>359312</xdr:colOff>
      <xdr:row>13</xdr:row>
      <xdr:rowOff>8449</xdr:rowOff>
    </xdr:from>
    <xdr:to>
      <xdr:col>11</xdr:col>
      <xdr:colOff>337295</xdr:colOff>
      <xdr:row>14</xdr:row>
      <xdr:rowOff>107605</xdr:rowOff>
    </xdr:to>
    <xdr:pic>
      <xdr:nvPicPr>
        <xdr:cNvPr id="59" name="Graphic 58" descr="Bar graph with upward trend with solid fill">
          <a:extLst>
            <a:ext uri="{FF2B5EF4-FFF2-40B4-BE49-F238E27FC236}">
              <a16:creationId xmlns:a16="http://schemas.microsoft.com/office/drawing/2014/main" id="{00181746-17CB-416E-81B9-CAFC0B21029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00805" y="2374061"/>
          <a:ext cx="592132" cy="281126"/>
        </a:xfrm>
        <a:prstGeom prst="rect">
          <a:avLst/>
        </a:prstGeom>
      </xdr:spPr>
    </xdr:pic>
    <xdr:clientData/>
  </xdr:twoCellAnchor>
  <xdr:twoCellAnchor>
    <xdr:from>
      <xdr:col>19</xdr:col>
      <xdr:colOff>443875</xdr:colOff>
      <xdr:row>12</xdr:row>
      <xdr:rowOff>74862</xdr:rowOff>
    </xdr:from>
    <xdr:to>
      <xdr:col>24</xdr:col>
      <xdr:colOff>41105</xdr:colOff>
      <xdr:row>15</xdr:row>
      <xdr:rowOff>122931</xdr:rowOff>
    </xdr:to>
    <xdr:sp macro="" textlink="">
      <xdr:nvSpPr>
        <xdr:cNvPr id="60" name="Text Box 1">
          <a:extLst>
            <a:ext uri="{FF2B5EF4-FFF2-40B4-BE49-F238E27FC236}">
              <a16:creationId xmlns:a16="http://schemas.microsoft.com/office/drawing/2014/main" id="{DEA2D71D-684B-45FA-A7ED-C312912D7699}"/>
            </a:ext>
          </a:extLst>
        </xdr:cNvPr>
        <xdr:cNvSpPr txBox="1">
          <a:spLocks noChangeArrowheads="1"/>
        </xdr:cNvSpPr>
      </xdr:nvSpPr>
      <xdr:spPr bwMode="auto">
        <a:xfrm>
          <a:off x="12112711" y="2258504"/>
          <a:ext cx="3350364" cy="593979"/>
        </a:xfrm>
        <a:prstGeom prst="rect">
          <a:avLst/>
        </a:prstGeom>
        <a:noFill/>
        <a:ln w="9525">
          <a:noFill/>
          <a:miter lim="800000"/>
          <a:headEnd/>
          <a:tailEnd/>
        </a:ln>
      </xdr:spPr>
      <xdr:txBody>
        <a:bodyPr vertOverflow="clip" wrap="square" lIns="27432" tIns="27432" rIns="0" bIns="0" anchor="ctr" upright="1"/>
        <a:lstStyle/>
        <a:p>
          <a:pPr algn="ctr" rtl="0">
            <a:defRPr sz="1000"/>
          </a:pPr>
          <a:r>
            <a:rPr lang="en-IN" sz="1600" b="1" i="0" u="none" strike="noStrike" baseline="0">
              <a:solidFill>
                <a:schemeClr val="tx1"/>
              </a:solidFill>
              <a:latin typeface="Calibri"/>
              <a:ea typeface="Calibri"/>
              <a:cs typeface="Calibri"/>
            </a:rPr>
            <a:t>revenue,Expenses &amp; Profit By department</a:t>
          </a:r>
        </a:p>
      </xdr:txBody>
    </xdr:sp>
    <xdr:clientData/>
  </xdr:twoCellAnchor>
  <xdr:twoCellAnchor editAs="oneCell">
    <xdr:from>
      <xdr:col>2</xdr:col>
      <xdr:colOff>386362</xdr:colOff>
      <xdr:row>5</xdr:row>
      <xdr:rowOff>74737</xdr:rowOff>
    </xdr:from>
    <xdr:to>
      <xdr:col>3</xdr:col>
      <xdr:colOff>582305</xdr:colOff>
      <xdr:row>9</xdr:row>
      <xdr:rowOff>20309</xdr:rowOff>
    </xdr:to>
    <xdr:pic>
      <xdr:nvPicPr>
        <xdr:cNvPr id="62" name="Graphic 61" descr="Database with solid fill">
          <a:extLst>
            <a:ext uri="{FF2B5EF4-FFF2-40B4-BE49-F238E27FC236}">
              <a16:creationId xmlns:a16="http://schemas.microsoft.com/office/drawing/2014/main" id="{33206A28-F8E5-F24A-77D8-680CAAFD543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14661" y="984588"/>
          <a:ext cx="810092" cy="673452"/>
        </a:xfrm>
        <a:prstGeom prst="rect">
          <a:avLst/>
        </a:prstGeom>
      </xdr:spPr>
    </xdr:pic>
    <xdr:clientData/>
  </xdr:twoCellAnchor>
  <xdr:twoCellAnchor editAs="oneCell">
    <xdr:from>
      <xdr:col>2</xdr:col>
      <xdr:colOff>477509</xdr:colOff>
      <xdr:row>12</xdr:row>
      <xdr:rowOff>135990</xdr:rowOff>
    </xdr:from>
    <xdr:to>
      <xdr:col>3</xdr:col>
      <xdr:colOff>580030</xdr:colOff>
      <xdr:row>15</xdr:row>
      <xdr:rowOff>157762</xdr:rowOff>
    </xdr:to>
    <xdr:pic>
      <xdr:nvPicPr>
        <xdr:cNvPr id="63" name="Graphic 62" descr="Database with solid fill">
          <a:extLst>
            <a:ext uri="{FF2B5EF4-FFF2-40B4-BE49-F238E27FC236}">
              <a16:creationId xmlns:a16="http://schemas.microsoft.com/office/drawing/2014/main" id="{42663C49-21B7-4FAD-9960-FFEA036517E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05808" y="2319632"/>
          <a:ext cx="716670" cy="567682"/>
        </a:xfrm>
        <a:prstGeom prst="rect">
          <a:avLst/>
        </a:prstGeom>
      </xdr:spPr>
    </xdr:pic>
    <xdr:clientData/>
  </xdr:twoCellAnchor>
  <xdr:twoCellAnchor editAs="oneCell">
    <xdr:from>
      <xdr:col>19</xdr:col>
      <xdr:colOff>20796</xdr:colOff>
      <xdr:row>12</xdr:row>
      <xdr:rowOff>108857</xdr:rowOff>
    </xdr:from>
    <xdr:to>
      <xdr:col>19</xdr:col>
      <xdr:colOff>645832</xdr:colOff>
      <xdr:row>16</xdr:row>
      <xdr:rowOff>87086</xdr:rowOff>
    </xdr:to>
    <xdr:pic>
      <xdr:nvPicPr>
        <xdr:cNvPr id="3076" name="Graphic 3075" descr="Daily calendar with solid fill">
          <a:extLst>
            <a:ext uri="{FF2B5EF4-FFF2-40B4-BE49-F238E27FC236}">
              <a16:creationId xmlns:a16="http://schemas.microsoft.com/office/drawing/2014/main" id="{4892265B-D2D1-4724-7ABF-1269E3C0753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689632" y="2292499"/>
          <a:ext cx="625036" cy="706109"/>
        </a:xfrm>
        <a:prstGeom prst="rect">
          <a:avLst/>
        </a:prstGeom>
      </xdr:spPr>
    </xdr:pic>
    <xdr:clientData/>
  </xdr:twoCellAnchor>
  <xdr:twoCellAnchor>
    <xdr:from>
      <xdr:col>2</xdr:col>
      <xdr:colOff>398059</xdr:colOff>
      <xdr:row>26</xdr:row>
      <xdr:rowOff>181969</xdr:rowOff>
    </xdr:from>
    <xdr:to>
      <xdr:col>10</xdr:col>
      <xdr:colOff>227462</xdr:colOff>
      <xdr:row>40</xdr:row>
      <xdr:rowOff>113730</xdr:rowOff>
    </xdr:to>
    <xdr:graphicFrame macro="">
      <xdr:nvGraphicFramePr>
        <xdr:cNvPr id="3077" name="Chart 3076">
          <a:extLst>
            <a:ext uri="{FF2B5EF4-FFF2-40B4-BE49-F238E27FC236}">
              <a16:creationId xmlns:a16="http://schemas.microsoft.com/office/drawing/2014/main" id="{5B3A7DF8-A862-4B4B-9BF3-6FCDDEFF9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375313</xdr:colOff>
      <xdr:row>26</xdr:row>
      <xdr:rowOff>60440</xdr:rowOff>
    </xdr:from>
    <xdr:to>
      <xdr:col>18</xdr:col>
      <xdr:colOff>170596</xdr:colOff>
      <xdr:row>40</xdr:row>
      <xdr:rowOff>166211</xdr:rowOff>
    </xdr:to>
    <xdr:graphicFrame macro="">
      <xdr:nvGraphicFramePr>
        <xdr:cNvPr id="3078" name="Chart 3077">
          <a:extLst>
            <a:ext uri="{FF2B5EF4-FFF2-40B4-BE49-F238E27FC236}">
              <a16:creationId xmlns:a16="http://schemas.microsoft.com/office/drawing/2014/main" id="{57EB9842-4F28-4CEB-AED8-AE5184D82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420807</xdr:colOff>
      <xdr:row>25</xdr:row>
      <xdr:rowOff>113730</xdr:rowOff>
    </xdr:from>
    <xdr:to>
      <xdr:col>25</xdr:col>
      <xdr:colOff>136479</xdr:colOff>
      <xdr:row>40</xdr:row>
      <xdr:rowOff>124129</xdr:rowOff>
    </xdr:to>
    <xdr:graphicFrame macro="">
      <xdr:nvGraphicFramePr>
        <xdr:cNvPr id="3079" name="Chart 3078">
          <a:extLst>
            <a:ext uri="{FF2B5EF4-FFF2-40B4-BE49-F238E27FC236}">
              <a16:creationId xmlns:a16="http://schemas.microsoft.com/office/drawing/2014/main" id="{201BD68C-567C-4C4C-AB43-1524FD054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0</xdr:col>
      <xdr:colOff>56865</xdr:colOff>
      <xdr:row>6</xdr:row>
      <xdr:rowOff>30707</xdr:rowOff>
    </xdr:from>
    <xdr:to>
      <xdr:col>2</xdr:col>
      <xdr:colOff>272954</xdr:colOff>
      <xdr:row>27</xdr:row>
      <xdr:rowOff>102358</xdr:rowOff>
    </xdr:to>
    <mc:AlternateContent xmlns:mc="http://schemas.openxmlformats.org/markup-compatibility/2006" xmlns:a14="http://schemas.microsoft.com/office/drawing/2010/main">
      <mc:Choice Requires="a14">
        <xdr:graphicFrame macro="">
          <xdr:nvGraphicFramePr>
            <xdr:cNvPr id="3080" name="Month 1">
              <a:extLst>
                <a:ext uri="{FF2B5EF4-FFF2-40B4-BE49-F238E27FC236}">
                  <a16:creationId xmlns:a16="http://schemas.microsoft.com/office/drawing/2014/main" id="{70BC6B91-79A8-4CD7-AF32-2CC34612286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6865" y="1122528"/>
              <a:ext cx="1444388" cy="3893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68238</xdr:colOff>
      <xdr:row>28</xdr:row>
      <xdr:rowOff>113732</xdr:rowOff>
    </xdr:from>
    <xdr:to>
      <xdr:col>2</xdr:col>
      <xdr:colOff>238835</xdr:colOff>
      <xdr:row>38</xdr:row>
      <xdr:rowOff>22746</xdr:rowOff>
    </xdr:to>
    <mc:AlternateContent xmlns:mc="http://schemas.openxmlformats.org/markup-compatibility/2006" xmlns:a14="http://schemas.microsoft.com/office/drawing/2010/main">
      <mc:Choice Requires="a14">
        <xdr:graphicFrame macro="">
          <xdr:nvGraphicFramePr>
            <xdr:cNvPr id="3081" name="Region 1">
              <a:extLst>
                <a:ext uri="{FF2B5EF4-FFF2-40B4-BE49-F238E27FC236}">
                  <a16:creationId xmlns:a16="http://schemas.microsoft.com/office/drawing/2014/main" id="{D96F0494-D17A-4DC1-8052-CEAE99C3D1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8238" y="5208896"/>
              <a:ext cx="1398896" cy="1728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295701</xdr:colOff>
      <xdr:row>0</xdr:row>
      <xdr:rowOff>0</xdr:rowOff>
    </xdr:from>
    <xdr:to>
      <xdr:col>1</xdr:col>
      <xdr:colOff>595952</xdr:colOff>
      <xdr:row>5</xdr:row>
      <xdr:rowOff>4549</xdr:rowOff>
    </xdr:to>
    <xdr:pic>
      <xdr:nvPicPr>
        <xdr:cNvPr id="3083" name="Graphic 3082" descr="Bank with solid fill">
          <a:extLst>
            <a:ext uri="{FF2B5EF4-FFF2-40B4-BE49-F238E27FC236}">
              <a16:creationId xmlns:a16="http://schemas.microsoft.com/office/drawing/2014/main" id="{77F60D0E-A285-E59C-2C77-1BBE08412874}"/>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95701" y="0"/>
          <a:ext cx="914400" cy="9144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0.00509</cdr:x>
      <cdr:y>0</cdr:y>
    </cdr:from>
    <cdr:to>
      <cdr:x>0.12214</cdr:x>
      <cdr:y>0.12712</cdr:y>
    </cdr:to>
    <cdr:pic>
      <cdr:nvPicPr>
        <cdr:cNvPr id="3" name="Graphic 2" descr="Dollar with solid fill">
          <a:extLst xmlns:a="http://schemas.openxmlformats.org/drawingml/2006/main">
            <a:ext uri="{FF2B5EF4-FFF2-40B4-BE49-F238E27FC236}">
              <a16:creationId xmlns:a16="http://schemas.microsoft.com/office/drawing/2014/main" id="{C3F95BAA-3BDD-71C9-5DED-14B474032DD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1771" y="0"/>
          <a:ext cx="500743" cy="326571"/>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0.00276</cdr:x>
      <cdr:y>0</cdr:y>
    </cdr:from>
    <cdr:to>
      <cdr:x>0.11086</cdr:x>
      <cdr:y>0.22177</cdr:y>
    </cdr:to>
    <cdr:pic>
      <cdr:nvPicPr>
        <cdr:cNvPr id="3" name="Graphic 2" descr="Pie chart with solid fill">
          <a:extLst xmlns:a="http://schemas.openxmlformats.org/drawingml/2006/main">
            <a:ext uri="{FF2B5EF4-FFF2-40B4-BE49-F238E27FC236}">
              <a16:creationId xmlns:a16="http://schemas.microsoft.com/office/drawing/2014/main" id="{B661A37A-DB44-1C26-6B0A-D2B399575B9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2911" y="0"/>
          <a:ext cx="505274" cy="588445"/>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0.00891</cdr:x>
      <cdr:y>0</cdr:y>
    </cdr:from>
    <cdr:to>
      <cdr:x>0.18971</cdr:x>
      <cdr:y>0.17148</cdr:y>
    </cdr:to>
    <cdr:pic>
      <cdr:nvPicPr>
        <cdr:cNvPr id="3" name="Graphic 2" descr="User with solid fill">
          <a:extLst xmlns:a="http://schemas.openxmlformats.org/drawingml/2006/main">
            <a:ext uri="{FF2B5EF4-FFF2-40B4-BE49-F238E27FC236}">
              <a16:creationId xmlns:a16="http://schemas.microsoft.com/office/drawing/2014/main" id="{3A7EF819-653B-D95F-17A5-856D809669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4802" y="0"/>
          <a:ext cx="908848" cy="469852"/>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editAs="oneCell">
    <xdr:from>
      <xdr:col>14</xdr:col>
      <xdr:colOff>175260</xdr:colOff>
      <xdr:row>11</xdr:row>
      <xdr:rowOff>76200</xdr:rowOff>
    </xdr:from>
    <xdr:to>
      <xdr:col>16</xdr:col>
      <xdr:colOff>121920</xdr:colOff>
      <xdr:row>24</xdr:row>
      <xdr:rowOff>165735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D7160389-0A4F-1A86-5EB5-DF6D1776DBB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384780" y="2087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144780</xdr:colOff>
      <xdr:row>17</xdr:row>
      <xdr:rowOff>60960</xdr:rowOff>
    </xdr:from>
    <xdr:to>
      <xdr:col>19</xdr:col>
      <xdr:colOff>144780</xdr:colOff>
      <xdr:row>30</xdr:row>
      <xdr:rowOff>150495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DBA0630-08FA-A163-C471-DA2180B8C3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236440" y="3169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KUMAR" refreshedDate="46283.855606712961" createdVersion="8" refreshedVersion="8" minRefreshableVersion="3" recordCount="500" xr:uid="{D802E52C-0DB1-480F-99D3-E8432A7D219E}">
  <cacheSource type="worksheet">
    <worksheetSource name="Table1"/>
  </cacheSource>
  <cacheFields count="17">
    <cacheField name="Date" numFmtId="14">
      <sharedItems containsSemiMixedTypes="0" containsNonDate="0" containsDate="1" containsString="0" minDate="2025-01-01T00:00:00" maxDate="2026-05-16T00:00:00"/>
    </cacheField>
    <cacheField name="Region" numFmtId="0">
      <sharedItems count="4">
        <s v="East"/>
        <s v="South"/>
        <s v="North"/>
        <s v="West"/>
      </sharedItems>
    </cacheField>
    <cacheField name="Department" numFmtId="0">
      <sharedItems count="6">
        <s v="Sales"/>
        <s v="Marketing"/>
        <s v="Operations"/>
        <s v="IT"/>
        <s v="Finance"/>
        <s v="HR"/>
      </sharedItems>
    </cacheField>
    <cacheField name="Revenue" numFmtId="0">
      <sharedItems containsSemiMixedTypes="0" containsString="0" containsNumber="1" containsInteger="1" minValue="50074" maxValue="299324"/>
    </cacheField>
    <cacheField name="Expenses" numFmtId="0">
      <sharedItems containsSemiMixedTypes="0" containsString="0" containsNumber="1" containsInteger="1" minValue="30182" maxValue="231441"/>
    </cacheField>
    <cacheField name="Customers" numFmtId="0">
      <sharedItems containsSemiMixedTypes="0" containsString="0" containsNumber="1" containsInteger="1" minValue="200" maxValue="1498"/>
    </cacheField>
    <cacheField name="Budget Revenue" numFmtId="0">
      <sharedItems containsSemiMixedTypes="0" containsString="0" containsNumber="1" containsInteger="1" minValue="47175" maxValue="321643" count="500">
        <n v="204309"/>
        <n v="185781"/>
        <n v="249194"/>
        <n v="103499"/>
        <n v="254196"/>
        <n v="70659"/>
        <n v="85321"/>
        <n v="168383"/>
        <n v="171486"/>
        <n v="261699"/>
        <n v="160560"/>
        <n v="116527"/>
        <n v="292750"/>
        <n v="177949"/>
        <n v="108298"/>
        <n v="201003"/>
        <n v="277411"/>
        <n v="187531"/>
        <n v="158355"/>
        <n v="100549"/>
        <n v="147151"/>
        <n v="235281"/>
        <n v="90317"/>
        <n v="180721"/>
        <n v="312875"/>
        <n v="193170"/>
        <n v="90156"/>
        <n v="257315"/>
        <n v="232517"/>
        <n v="206193"/>
        <n v="96904"/>
        <n v="55160"/>
        <n v="267731"/>
        <n v="109590"/>
        <n v="215348"/>
        <n v="178369"/>
        <n v="266747"/>
        <n v="250039"/>
        <n v="229675"/>
        <n v="225356"/>
        <n v="79783"/>
        <n v="106620"/>
        <n v="307981"/>
        <n v="149530"/>
        <n v="164177"/>
        <n v="75635"/>
        <n v="180750"/>
        <n v="51231"/>
        <n v="164641"/>
        <n v="54407"/>
        <n v="162326"/>
        <n v="177623"/>
        <n v="259185"/>
        <n v="169831"/>
        <n v="171439"/>
        <n v="55657"/>
        <n v="64893"/>
        <n v="226647"/>
        <n v="224997"/>
        <n v="260561"/>
        <n v="195868"/>
        <n v="279991"/>
        <n v="148712"/>
        <n v="178468"/>
        <n v="199997"/>
        <n v="209158"/>
        <n v="285194"/>
        <n v="67144"/>
        <n v="123904"/>
        <n v="83839"/>
        <n v="128350"/>
        <n v="274485"/>
        <n v="68522"/>
        <n v="91829"/>
        <n v="269843"/>
        <n v="276686"/>
        <n v="166982"/>
        <n v="205072"/>
        <n v="189464"/>
        <n v="66863"/>
        <n v="223654"/>
        <n v="52113"/>
        <n v="228584"/>
        <n v="160722"/>
        <n v="145577"/>
        <n v="299761"/>
        <n v="63955"/>
        <n v="118437"/>
        <n v="168830"/>
        <n v="146535"/>
        <n v="103531"/>
        <n v="180807"/>
        <n v="101586"/>
        <n v="128925"/>
        <n v="73295"/>
        <n v="194901"/>
        <n v="232576"/>
        <n v="148065"/>
        <n v="250370"/>
        <n v="263409"/>
        <n v="263047"/>
        <n v="142266"/>
        <n v="141981"/>
        <n v="180089"/>
        <n v="113896"/>
        <n v="242311"/>
        <n v="235120"/>
        <n v="283788"/>
        <n v="100999"/>
        <n v="143692"/>
        <n v="254571"/>
        <n v="166618"/>
        <n v="62685"/>
        <n v="166882"/>
        <n v="168623"/>
        <n v="58152"/>
        <n v="216564"/>
        <n v="101455"/>
        <n v="267814"/>
        <n v="176107"/>
        <n v="270563"/>
        <n v="73349"/>
        <n v="299766"/>
        <n v="84567"/>
        <n v="317620"/>
        <n v="242926"/>
        <n v="168055"/>
        <n v="299371"/>
        <n v="123943"/>
        <n v="60323"/>
        <n v="258540"/>
        <n v="224031"/>
        <n v="189565"/>
        <n v="175843"/>
        <n v="174710"/>
        <n v="132409"/>
        <n v="216763"/>
        <n v="59933"/>
        <n v="269921"/>
        <n v="47175"/>
        <n v="219033"/>
        <n v="238683"/>
        <n v="95436"/>
        <n v="285030"/>
        <n v="188590"/>
        <n v="97902"/>
        <n v="127469"/>
        <n v="214088"/>
        <n v="58495"/>
        <n v="141846"/>
        <n v="295359"/>
        <n v="148256"/>
        <n v="221229"/>
        <n v="122080"/>
        <n v="169752"/>
        <n v="96220"/>
        <n v="55241"/>
        <n v="119267"/>
        <n v="125389"/>
        <n v="165986"/>
        <n v="50272"/>
        <n v="303069"/>
        <n v="248615"/>
        <n v="291043"/>
        <n v="309962"/>
        <n v="164694"/>
        <n v="128057"/>
        <n v="87687"/>
        <n v="237552"/>
        <n v="252933"/>
        <n v="103726"/>
        <n v="275061"/>
        <n v="184121"/>
        <n v="84356"/>
        <n v="265444"/>
        <n v="148854"/>
        <n v="87592"/>
        <n v="60305"/>
        <n v="275380"/>
        <n v="207345"/>
        <n v="104870"/>
        <n v="73008"/>
        <n v="71506"/>
        <n v="176471"/>
        <n v="237426"/>
        <n v="157666"/>
        <n v="71150"/>
        <n v="236158"/>
        <n v="181091"/>
        <n v="117495"/>
        <n v="133133"/>
        <n v="283998"/>
        <n v="203562"/>
        <n v="302115"/>
        <n v="221245"/>
        <n v="256452"/>
        <n v="54965"/>
        <n v="181944"/>
        <n v="222196"/>
        <n v="263656"/>
        <n v="57890"/>
        <n v="60656"/>
        <n v="243425"/>
        <n v="73052"/>
        <n v="122275"/>
        <n v="259976"/>
        <n v="119455"/>
        <n v="193534"/>
        <n v="63453"/>
        <n v="296010"/>
        <n v="56339"/>
        <n v="150931"/>
        <n v="235740"/>
        <n v="175036"/>
        <n v="260274"/>
        <n v="271319"/>
        <n v="70099"/>
        <n v="234088"/>
        <n v="78571"/>
        <n v="98120"/>
        <n v="51839"/>
        <n v="232495"/>
        <n v="240980"/>
        <n v="57991"/>
        <n v="207237"/>
        <n v="249019"/>
        <n v="229051"/>
        <n v="107730"/>
        <n v="243974"/>
        <n v="76669"/>
        <n v="210582"/>
        <n v="161074"/>
        <n v="228618"/>
        <n v="227230"/>
        <n v="83501"/>
        <n v="274652"/>
        <n v="262578"/>
        <n v="108707"/>
        <n v="61747"/>
        <n v="138332"/>
        <n v="182741"/>
        <n v="73099"/>
        <n v="95830"/>
        <n v="205649"/>
        <n v="122779"/>
        <n v="131593"/>
        <n v="268649"/>
        <n v="142040"/>
        <n v="54818"/>
        <n v="248638"/>
        <n v="287429"/>
        <n v="83913"/>
        <n v="61975"/>
        <n v="269643"/>
        <n v="76597"/>
        <n v="105299"/>
        <n v="191603"/>
        <n v="295700"/>
        <n v="168285"/>
        <n v="269528"/>
        <n v="156492"/>
        <n v="234254"/>
        <n v="91209"/>
        <n v="241456"/>
        <n v="63435"/>
        <n v="130203"/>
        <n v="206892"/>
        <n v="272499"/>
        <n v="190554"/>
        <n v="96307"/>
        <n v="125197"/>
        <n v="270140"/>
        <n v="181396"/>
        <n v="202594"/>
        <n v="186909"/>
        <n v="148190"/>
        <n v="104950"/>
        <n v="250679"/>
        <n v="69604"/>
        <n v="214686"/>
        <n v="220684"/>
        <n v="96679"/>
        <n v="198968"/>
        <n v="126738"/>
        <n v="195847"/>
        <n v="242975"/>
        <n v="216229"/>
        <n v="64600"/>
        <n v="157269"/>
        <n v="171020"/>
        <n v="126669"/>
        <n v="160911"/>
        <n v="62644"/>
        <n v="220427"/>
        <n v="114229"/>
        <n v="158502"/>
        <n v="253526"/>
        <n v="205131"/>
        <n v="192780"/>
        <n v="146060"/>
        <n v="157137"/>
        <n v="155240"/>
        <n v="183805"/>
        <n v="226941"/>
        <n v="76400"/>
        <n v="236605"/>
        <n v="99763"/>
        <n v="125628"/>
        <n v="213300"/>
        <n v="88764"/>
        <n v="135142"/>
        <n v="140526"/>
        <n v="119044"/>
        <n v="228801"/>
        <n v="197686"/>
        <n v="202681"/>
        <n v="248616"/>
        <n v="263053"/>
        <n v="270646"/>
        <n v="57908"/>
        <n v="112505"/>
        <n v="222385"/>
        <n v="145686"/>
        <n v="170246"/>
        <n v="143294"/>
        <n v="107667"/>
        <n v="233977"/>
        <n v="298428"/>
        <n v="197569"/>
        <n v="140677"/>
        <n v="184618"/>
        <n v="241030"/>
        <n v="239154"/>
        <n v="124362"/>
        <n v="103291"/>
        <n v="115821"/>
        <n v="239077"/>
        <n v="72977"/>
        <n v="284144"/>
        <n v="240548"/>
        <n v="279363"/>
        <n v="110844"/>
        <n v="77195"/>
        <n v="71664"/>
        <n v="170226"/>
        <n v="216713"/>
        <n v="177328"/>
        <n v="229405"/>
        <n v="276369"/>
        <n v="79758"/>
        <n v="102295"/>
        <n v="168771"/>
        <n v="119902"/>
        <n v="192081"/>
        <n v="115137"/>
        <n v="122014"/>
        <n v="55948"/>
        <n v="110969"/>
        <n v="116480"/>
        <n v="270356"/>
        <n v="138145"/>
        <n v="172623"/>
        <n v="137451"/>
        <n v="310141"/>
        <n v="60265"/>
        <n v="321643"/>
        <n v="64468"/>
        <n v="73749"/>
        <n v="247071"/>
        <n v="68764"/>
        <n v="148804"/>
        <n v="64720"/>
        <n v="210540"/>
        <n v="111096"/>
        <n v="193191"/>
        <n v="210380"/>
        <n v="264160"/>
        <n v="152042"/>
        <n v="70960"/>
        <n v="165287"/>
        <n v="230057"/>
        <n v="247733"/>
        <n v="116448"/>
        <n v="62015"/>
        <n v="104787"/>
        <n v="285684"/>
        <n v="76262"/>
        <n v="89457"/>
        <n v="276580"/>
        <n v="150275"/>
        <n v="99279"/>
        <n v="231821"/>
        <n v="239139"/>
        <n v="117762"/>
        <n v="294239"/>
        <n v="251150"/>
        <n v="241472"/>
        <n v="138299"/>
        <n v="203024"/>
        <n v="109914"/>
        <n v="179883"/>
        <n v="155697"/>
        <n v="95328"/>
        <n v="156165"/>
        <n v="302076"/>
        <n v="299291"/>
        <n v="134504"/>
        <n v="194383"/>
        <n v="101312"/>
        <n v="189008"/>
        <n v="142502"/>
        <n v="160681"/>
        <n v="227702"/>
        <n v="232351"/>
        <n v="234247"/>
        <n v="132623"/>
        <n v="283509"/>
        <n v="109763"/>
        <n v="287624"/>
        <n v="226877"/>
        <n v="183208"/>
        <n v="286486"/>
        <n v="138144"/>
        <n v="99118"/>
        <n v="107060"/>
        <n v="86105"/>
        <n v="171560"/>
        <n v="171328"/>
        <n v="65034"/>
        <n v="246710"/>
        <n v="131515"/>
        <n v="211862"/>
        <n v="156125"/>
        <n v="57491"/>
        <n v="169146"/>
        <n v="125489"/>
        <n v="274120"/>
        <n v="91641"/>
        <n v="71823"/>
        <n v="75032"/>
        <n v="81545"/>
        <n v="47294"/>
        <n v="61354"/>
        <n v="51745"/>
        <n v="189026"/>
        <n v="245388"/>
        <n v="218528"/>
        <n v="67796"/>
        <n v="241188"/>
        <n v="137017"/>
        <n v="59494"/>
        <n v="65146"/>
        <n v="179264"/>
        <n v="291493"/>
        <n v="223821"/>
        <n v="245719"/>
        <n v="69178"/>
        <n v="283173"/>
        <n v="162050"/>
        <n v="112691"/>
        <n v="153174"/>
        <n v="81044"/>
        <n v="232868"/>
        <n v="213346"/>
        <n v="99649"/>
        <n v="237143"/>
        <n v="94155"/>
        <n v="214535"/>
        <n v="122890"/>
        <n v="133559"/>
        <n v="141360"/>
        <n v="180333"/>
        <n v="248535"/>
        <n v="189388"/>
        <n v="199803"/>
        <n v="70875"/>
        <n v="239123"/>
        <n v="117270"/>
        <n v="145108"/>
        <n v="257326"/>
        <n v="174566"/>
        <n v="116445"/>
        <n v="57408"/>
        <n v="52177"/>
        <n v="203221"/>
        <n v="86650"/>
        <n v="139714"/>
        <n v="204388"/>
        <n v="145149"/>
        <n v="108833"/>
        <n v="196770"/>
        <n v="179981"/>
        <n v="199290"/>
        <n v="156748"/>
        <n v="244094"/>
        <n v="221177"/>
        <n v="146197"/>
        <n v="282077"/>
        <n v="202156"/>
        <n v="117672"/>
      </sharedItems>
    </cacheField>
    <cacheField name="Product Category" numFmtId="0">
      <sharedItems/>
    </cacheField>
    <cacheField name="Sales Channel" numFmtId="0">
      <sharedItems/>
    </cacheField>
    <cacheField name="Financial Metric" numFmtId="0">
      <sharedItems count="5">
        <s v="EBITDA"/>
        <s v="Revenue"/>
        <s v="Net Profit"/>
        <s v="Gross Profit"/>
        <s v="Operating Expenses"/>
      </sharedItems>
    </cacheField>
    <cacheField name="Expense Category" numFmtId="0">
      <sharedItems count="10">
        <s v="Maintenance"/>
        <s v="Marketing"/>
        <s v="IT Expenses"/>
        <s v="Rent"/>
        <s v="Office Supplies"/>
        <s v="Insurance"/>
        <s v="Salaries"/>
        <s v="Travel"/>
        <s v="Training"/>
        <s v="Utilities"/>
      </sharedItems>
    </cacheField>
    <cacheField name="Customer Name" numFmtId="0">
      <sharedItems count="243">
        <s v="Arjun Das"/>
        <s v="Aditya Kumar"/>
        <s v="Vihaan Rao"/>
        <s v="Neha Rao"/>
        <s v="Ananya Yadav"/>
        <s v="Krishna Reddy"/>
        <s v="Pooja Sharma"/>
        <s v="Ananya Nair"/>
        <s v="Ishaan Yadav"/>
        <s v="Aarav Mehta"/>
        <s v="Neha Kumar"/>
        <s v="Rahul Das"/>
        <s v="Vihaan Naidu"/>
        <s v="Sneha Sharma"/>
        <s v="Aarav Sharma"/>
        <s v="Kavya Sharma"/>
        <s v="Ananya Joshi"/>
        <s v="Krishna Nair"/>
        <s v="Aarav Singh"/>
        <s v="Rahul Yadav"/>
        <s v="Kavya Gupta"/>
        <s v="Priya Gupta"/>
        <s v="Aarav Nair"/>
        <s v="Kavya Naidu"/>
        <s v="Vihaan Patel"/>
        <s v="Kiran Reddy"/>
        <s v="Sneha Naidu"/>
        <s v="Meera Naidu"/>
        <s v="Aisha Singh"/>
        <s v="Krishna Kumar"/>
        <s v="Kiran Das"/>
        <s v="Pooja Kapoor"/>
        <s v="Meera Nair"/>
        <s v="Diya Kapoor"/>
        <s v="Vivaan Rao"/>
        <s v="Rahul Mehta"/>
        <s v="Sai Verma"/>
        <s v="Priya Reddy"/>
        <s v="Neha Joshi"/>
        <s v="Meera Reddy"/>
        <s v="Sai Singh"/>
        <s v="Ananya Verma"/>
        <s v="Pooja Mehta"/>
        <s v="Aarav Rao"/>
        <s v="Vivaan Kumar"/>
        <s v="Ishaan Das"/>
        <s v="Diya Nair"/>
        <s v="Sai Patel"/>
        <s v="Meera Gupta"/>
        <s v="Aarav Yadav"/>
        <s v="Krishna Singh"/>
        <s v="Ananya Singh"/>
        <s v="Priya Kapoor"/>
        <s v="Diya Verma"/>
        <s v="Neha Naidu"/>
        <s v="Rohan Joshi"/>
        <s v="Kavya Das"/>
        <s v="Meera Yadav"/>
        <s v="Arjun Singh"/>
        <s v="Aisha Sharma"/>
        <s v="Priya Das"/>
        <s v="Priya Nair"/>
        <s v="Priya Sharma"/>
        <s v="Kavya Singh"/>
        <s v="Ishaan Verma"/>
        <s v="Neha Das"/>
        <s v="Rahul Joshi"/>
        <s v="Diya Patel"/>
        <s v="Aditya Yadav"/>
        <s v="Kavya Yadav"/>
        <s v="Rohan Sharma"/>
        <s v="Aditya Reddy"/>
        <s v="Rohan Gupta"/>
        <s v="Rohan Reddy"/>
        <s v="Ishaan Patel"/>
        <s v="Priya Kumar"/>
        <s v="Aditya Patel"/>
        <s v="Sai Kumar"/>
        <s v="Meera Patel"/>
        <s v="Kiran Rao"/>
        <s v="Sneha Rao"/>
        <s v="Pooja Reddy"/>
        <s v="Aarav Kumar"/>
        <s v="Aisha Yadav"/>
        <s v="Vihaan Kumar"/>
        <s v="Ishaan Nair"/>
        <s v="Aarav Gupta"/>
        <s v="Arjun Sharma"/>
        <s v="Sai Rao"/>
        <s v="Meera Joshi"/>
        <s v="Meera Rao"/>
        <s v="Rahul Singh"/>
        <s v="Diya Yadav"/>
        <s v="Sneha Joshi"/>
        <s v="Kiran Patel"/>
        <s v="Krishna Naidu"/>
        <s v="Aditya Kapoor"/>
        <s v="Kiran Mehta"/>
        <s v="Sai Nair"/>
        <s v="Diya Kumar"/>
        <s v="Vivaan Das"/>
        <s v="Diya Rao"/>
        <s v="Sai Kapoor"/>
        <s v="Ishaan Singh"/>
        <s v="Vivaan Nair"/>
        <s v="Krishna Verma"/>
        <s v="Vihaan Gupta"/>
        <s v="Diya Joshi"/>
        <s v="Aisha Das"/>
        <s v="Krishna Rao"/>
        <s v="Vihaan Joshi"/>
        <s v="Ananya Kumar"/>
        <s v="Aarav Verma"/>
        <s v="Ishaan Kapoor"/>
        <s v="Ananya Naidu"/>
        <s v="Kiran Sharma"/>
        <s v="Sai Gupta"/>
        <s v="Sneha Yadav"/>
        <s v="Arjun Verma"/>
        <s v="Aisha Gupta"/>
        <s v="Vihaan Kapoor"/>
        <s v="Kavya Verma"/>
        <s v="Kavya Rao"/>
        <s v="Aditya Mehta"/>
        <s v="Vivaan Reddy"/>
        <s v="Arjun Patel"/>
        <s v="Sai Naidu"/>
        <s v="Rohan Yadav"/>
        <s v="Sneha Das"/>
        <s v="Meera Kapoor"/>
        <s v="Rohan Verma"/>
        <s v="Sneha Verma"/>
        <s v="Rahul Kapoor"/>
        <s v="Pooja Patel"/>
        <s v="Diya Singh"/>
        <s v="Vihaan Verma"/>
        <s v="Aditya Nair"/>
        <s v="Arjun Kapoor"/>
        <s v="Vihaan Das"/>
        <s v="Ananya Reddy"/>
        <s v="Priya Naidu"/>
        <s v="Vivaan Kapoor"/>
        <s v="Ishaan Joshi"/>
        <s v="Aarav Reddy"/>
        <s v="Aisha Reddy"/>
        <s v="Vivaan Gupta"/>
        <s v="Sai Reddy"/>
        <s v="Neha Patel"/>
        <s v="Rahul Patel"/>
        <s v="Vihaan Nair"/>
        <s v="Kiran Singh"/>
        <s v="Rohan Mehta"/>
        <s v="Pooja Verma"/>
        <s v="Neha Nair"/>
        <s v="Sneha Nair"/>
        <s v="Neha Reddy"/>
        <s v="Kavya Kapoor"/>
        <s v="Pooja Joshi"/>
        <s v="Krishna Gupta"/>
        <s v="Sneha Gupta"/>
        <s v="Vivaan Verma"/>
        <s v="Diya Naidu"/>
        <s v="Kiran Gupta"/>
        <s v="Sneha Reddy"/>
        <s v="Ishaan Reddy"/>
        <s v="Rahul Gupta"/>
        <s v="Rahul Nair"/>
        <s v="Aditya Sharma"/>
        <s v="Priya Rao"/>
        <s v="Arjun Reddy"/>
        <s v="Sneha Kumar"/>
        <s v="Vihaan Mehta"/>
        <s v="Ishaan Kumar"/>
        <s v="Arjun Naidu"/>
        <s v="Krishna Patel"/>
        <s v="Vivaan Yadav"/>
        <s v="Sneha Kapoor"/>
        <s v="Kiran Nair"/>
        <s v="Kavya Patel"/>
        <s v="Vivaan Mehta"/>
        <s v="Rahul Kumar"/>
        <s v="Aditya Joshi"/>
        <s v="Neha Yadav"/>
        <s v="Rohan Singh"/>
        <s v="Neha Kapoor"/>
        <s v="Sneha Patel"/>
        <s v="Rohan Rao"/>
        <s v="Rohan Kapoor"/>
        <s v="Rohan Nair"/>
        <s v="Sai Das"/>
        <s v="Aditya Gupta"/>
        <s v="Sneha Singh"/>
        <s v="Pooja Gupta"/>
        <s v="Aisha Verma"/>
        <s v="Rahul Sharma"/>
        <s v="Priya Patel"/>
        <s v="Kiran Kapoor"/>
        <s v="Sai Mehta"/>
        <s v="Krishna Das"/>
        <s v="Ananya Mehta"/>
        <s v="Vivaan Singh"/>
        <s v="Aditya Rao"/>
        <s v="Aisha Nair"/>
        <s v="Aisha Naidu"/>
        <s v="Kiran Kumar"/>
        <s v="Ishaan Gupta"/>
        <s v="Aisha Kapoor"/>
        <s v="Vihaan Yadav"/>
        <s v="Ananya Gupta"/>
        <s v="Kiran Yadav"/>
        <s v="Diya Mehta"/>
        <s v="Kiran Joshi"/>
        <s v="Meera Verma"/>
        <s v="Priya Yadav"/>
        <s v="Neha Mehta"/>
        <s v="Neha Verma"/>
        <s v="Ishaan Mehta"/>
        <s v="Priya Singh"/>
        <s v="Aarav Joshi"/>
        <s v="Ananya Das"/>
        <s v="Arjun Joshi"/>
        <s v="Sai Yadav"/>
        <s v="Ishaan Sharma"/>
        <s v="Kavya Kumar"/>
        <s v="Arjun Rao"/>
        <s v="Meera Sharma"/>
        <s v="Aditya Verma"/>
        <s v="Neha Sharma"/>
        <s v="Rohan Das"/>
        <s v="Rahul Naidu"/>
        <s v="Meera Singh"/>
        <s v="Vivaan Patel"/>
        <s v="Kavya Nair"/>
        <s v="Aarav Kapoor"/>
        <s v="Arjun Yadav"/>
        <s v="Krishna Mehta"/>
        <s v="Pooja Naidu"/>
        <s v="Vivaan Sharma"/>
        <s v="Krishna Joshi"/>
        <s v="Ishaan Rao"/>
        <s v="Rahul Rao"/>
        <s v="Pooja Das"/>
        <s v="Ananya Kapoor"/>
      </sharedItems>
    </cacheField>
    <cacheField name="Customer Satisfaction %" numFmtId="0">
      <sharedItems containsSemiMixedTypes="0" containsString="0" containsNumber="1" minValue="75" maxValue="98.9"/>
    </cacheField>
    <cacheField name="Budget Profit" numFmtId="0">
      <sharedItems containsSemiMixedTypes="0" containsString="0" containsNumber="1" containsInteger="1" minValue="10005" maxValue="266602"/>
    </cacheField>
    <cacheField name="Year" numFmtId="0">
      <sharedItems containsSemiMixedTypes="0" containsString="0" containsNumber="1" containsInteger="1" minValue="2025" maxValue="2026"/>
    </cacheField>
    <cacheField name="Month" numFmtId="0">
      <sharedItems count="12">
        <s v="Jan"/>
        <s v="Feb"/>
        <s v="Mar"/>
        <s v="Apr"/>
        <s v="May"/>
        <s v="Jun"/>
        <s v="Jul"/>
        <s v="Aug"/>
        <s v="Sep"/>
        <s v="Oct"/>
        <s v="Nov"/>
        <s v="Dec"/>
      </sharedItems>
    </cacheField>
    <cacheField name="Actual Profit" numFmtId="0">
      <sharedItems containsSemiMixedTypes="0" containsString="0" containsNumber="1" containsInteger="1" minValue="10836" maxValue="261303" count="499">
        <n v="83736"/>
        <n v="148310"/>
        <n v="102534"/>
        <n v="67946"/>
        <n v="213895"/>
        <n v="21651"/>
        <n v="24874"/>
        <n v="103005"/>
        <n v="134199"/>
        <n v="112358"/>
        <n v="130139"/>
        <n v="29475"/>
        <n v="90200"/>
        <n v="113879"/>
        <n v="36163"/>
        <n v="109072"/>
        <n v="253124"/>
        <n v="61193"/>
        <n v="102054"/>
        <n v="22703"/>
        <n v="77685"/>
        <n v="77506"/>
        <n v="21750"/>
        <n v="102292"/>
        <n v="114365"/>
        <n v="166033"/>
        <n v="19569"/>
        <n v="183600"/>
        <n v="113601"/>
        <n v="42740"/>
        <n v="36264"/>
        <n v="14578"/>
        <n v="57801"/>
        <n v="71376"/>
        <n v="60221"/>
        <n v="143408"/>
        <n v="132005"/>
        <n v="175826"/>
        <n v="72942"/>
        <n v="101593"/>
        <n v="20780"/>
        <n v="45619"/>
        <n v="118101"/>
        <n v="120320"/>
        <n v="94228"/>
        <n v="26549"/>
        <n v="145685"/>
        <n v="13657"/>
        <n v="46642"/>
        <n v="20294"/>
        <n v="103393"/>
        <n v="65368"/>
        <n v="90276"/>
        <n v="40913"/>
        <n v="66571"/>
        <n v="15878"/>
        <n v="28644"/>
        <n v="109098"/>
        <n v="135986"/>
        <n v="94039"/>
        <n v="160487"/>
        <n v="223860"/>
        <n v="112856"/>
        <n v="148626"/>
        <n v="75951"/>
        <n v="154279"/>
        <n v="132992"/>
        <n v="23763"/>
        <n v="62272"/>
        <n v="27695"/>
        <n v="67064"/>
        <n v="148096"/>
        <n v="20078"/>
        <n v="26948"/>
        <n v="101735"/>
        <n v="154083"/>
        <n v="91118"/>
        <n v="116406"/>
        <n v="75273"/>
        <n v="18180"/>
        <n v="166103"/>
        <n v="22188"/>
        <n v="139946"/>
        <n v="97952"/>
        <n v="43577"/>
        <n v="226255"/>
        <n v="38304"/>
        <n v="81990"/>
        <n v="84193"/>
        <n v="27028"/>
        <n v="59759"/>
        <n v="82198"/>
        <n v="27835"/>
        <n v="107297"/>
        <n v="24030"/>
        <n v="167475"/>
        <n v="51746"/>
        <n v="88601"/>
        <n v="123252"/>
        <n v="138391"/>
        <n v="76803"/>
        <n v="75297"/>
        <n v="41563"/>
        <n v="139008"/>
        <n v="85014"/>
        <n v="77066"/>
        <n v="119581"/>
        <n v="149907"/>
        <n v="24442"/>
        <n v="64390"/>
        <n v="208301"/>
        <n v="55232"/>
        <n v="20325"/>
        <n v="67135"/>
        <n v="100610"/>
        <n v="12895"/>
        <n v="120647"/>
        <n v="59767"/>
        <n v="152897"/>
        <n v="90024"/>
        <n v="155924"/>
        <n v="25936"/>
        <n v="261303"/>
        <n v="34206"/>
        <n v="258591"/>
        <n v="56289"/>
        <n v="97939"/>
        <n v="68334"/>
        <n v="99509"/>
        <n v="25498"/>
        <n v="78628"/>
        <n v="81795"/>
        <n v="54683"/>
        <n v="59575"/>
        <n v="102838"/>
        <n v="97345"/>
        <n v="73321"/>
        <n v="32857"/>
        <n v="173596"/>
        <n v="10836"/>
        <n v="105911"/>
        <n v="92205"/>
        <n v="68001"/>
        <n v="80408"/>
        <n v="78322"/>
        <n v="54176"/>
        <n v="46925"/>
        <n v="60786"/>
        <n v="23932"/>
        <n v="47221"/>
        <n v="194025"/>
        <n v="80151"/>
        <n v="158911"/>
        <n v="99688"/>
        <n v="88088"/>
        <n v="21741"/>
        <n v="17532"/>
        <n v="68034"/>
        <n v="46753"/>
        <n v="115655"/>
        <n v="22374"/>
        <n v="134342"/>
        <n v="186777"/>
        <n v="180119"/>
        <n v="87208"/>
        <n v="37571"/>
        <n v="81947"/>
        <n v="18517"/>
        <n v="78389"/>
        <n v="205287"/>
        <n v="70876"/>
        <n v="219894"/>
        <n v="87878"/>
        <n v="25546"/>
        <n v="255863"/>
        <n v="73379"/>
        <n v="55539"/>
        <n v="17946"/>
        <n v="205240"/>
        <n v="130250"/>
        <n v="45077"/>
        <n v="31942"/>
        <n v="41621"/>
        <n v="83058"/>
        <n v="185342"/>
        <n v="121030"/>
        <n v="21168"/>
        <n v="176039"/>
        <n v="132779"/>
        <n v="26225"/>
        <n v="95578"/>
        <n v="111640"/>
        <n v="48187"/>
        <n v="135145"/>
        <n v="54739"/>
        <n v="64944"/>
        <n v="15760"/>
        <n v="125013"/>
        <n v="83509"/>
        <n v="200265"/>
        <n v="21376"/>
        <n v="24444"/>
        <n v="60150"/>
        <n v="17126"/>
        <n v="25985"/>
        <n v="73626"/>
        <n v="84231"/>
        <n v="39806"/>
        <n v="13051"/>
        <n v="61652"/>
        <n v="13492"/>
        <n v="77649"/>
        <n v="185051"/>
        <n v="137134"/>
        <n v="199273"/>
        <n v="106151"/>
        <n v="28967"/>
        <n v="182872"/>
        <n v="20921"/>
        <n v="50062"/>
        <n v="11408"/>
        <n v="95290"/>
        <n v="158392"/>
        <n v="23644"/>
        <n v="153648"/>
        <n v="169297"/>
        <n v="65404"/>
        <n v="42318"/>
        <n v="83310"/>
        <n v="37185"/>
        <n v="174310"/>
        <n v="65617"/>
        <n v="141909"/>
        <n v="173814"/>
        <n v="37173"/>
        <n v="204299"/>
        <n v="71216"/>
        <n v="64362"/>
        <n v="17812"/>
        <n v="41372"/>
        <n v="119266"/>
        <n v="40785"/>
        <n v="42047"/>
        <n v="74197"/>
        <n v="45403"/>
        <n v="63551"/>
        <n v="90036"/>
        <n v="50052"/>
        <n v="16298"/>
        <n v="57611"/>
        <n v="225042"/>
        <n v="21663"/>
        <n v="21080"/>
        <n v="221730"/>
        <n v="29020"/>
        <n v="38457"/>
        <n v="156703"/>
        <n v="87461"/>
        <n v="79354"/>
        <n v="150034"/>
        <n v="56311"/>
        <n v="133287"/>
        <n v="51572"/>
        <n v="199457"/>
        <n v="30275"/>
        <n v="47174"/>
        <n v="70833"/>
        <n v="180099"/>
        <n v="49764"/>
        <n v="43334"/>
        <n v="88417"/>
        <n v="144172"/>
        <n v="157666"/>
        <n v="81677"/>
        <n v="51644"/>
        <n v="34061"/>
        <n v="23058"/>
        <n v="86011"/>
        <n v="28889"/>
        <n v="155206"/>
        <n v="48722"/>
        <n v="50460"/>
        <n v="61489"/>
        <n v="51836"/>
        <n v="36199"/>
        <n v="134809"/>
        <n v="85826"/>
        <n v="24486"/>
        <n v="77586"/>
        <n v="114753"/>
        <n v="96239"/>
        <n v="45545"/>
        <n v="25023"/>
        <n v="110943"/>
        <n v="63067"/>
        <n v="127907"/>
        <n v="204497"/>
        <n v="46018"/>
        <n v="67774"/>
        <n v="34758"/>
        <n v="101802"/>
        <n v="124867"/>
        <n v="43063"/>
        <n v="128582"/>
        <n v="36176"/>
        <n v="92016"/>
        <n v="60059"/>
        <n v="32870"/>
        <n v="84792"/>
        <n v="36555"/>
        <n v="46116"/>
        <n v="37073"/>
        <n v="53094"/>
        <n v="117755"/>
        <n v="97874"/>
        <n v="153403"/>
        <n v="122060"/>
        <n v="199724"/>
        <n v="84524"/>
        <n v="13622"/>
        <n v="59395"/>
        <n v="182012"/>
        <n v="60997"/>
        <n v="42140"/>
        <n v="57712"/>
        <n v="46073"/>
        <n v="88940"/>
        <n v="196654"/>
        <n v="124108"/>
        <n v="77897"/>
        <n v="67415"/>
        <n v="181917"/>
        <n v="178545"/>
        <n v="48026"/>
        <n v="34937"/>
        <n v="41691"/>
        <n v="60811"/>
        <n v="34057"/>
        <n v="204625"/>
        <n v="203872"/>
        <n v="69538"/>
        <n v="72439"/>
        <n v="20902"/>
        <n v="36182"/>
        <n v="40569"/>
        <n v="146567"/>
        <n v="140447"/>
        <n v="156416"/>
        <n v="173558"/>
        <n v="50156"/>
        <n v="35499"/>
        <n v="94274"/>
        <n v="69600"/>
        <n v="89475"/>
        <n v="53202"/>
        <n v="83644"/>
        <n v="26020"/>
        <n v="57325"/>
        <n v="73324"/>
        <n v="127820"/>
        <n v="47405"/>
        <n v="36779"/>
        <n v="108096"/>
        <n v="177531"/>
        <n v="19300"/>
        <n v="176736"/>
        <n v="25852"/>
        <n v="33483"/>
        <n v="202951"/>
        <n v="18470"/>
        <n v="77756"/>
        <n v="21126"/>
        <n v="169439"/>
        <n v="35290"/>
        <n v="41596"/>
        <n v="103387"/>
        <n v="73778"/>
        <n v="65732"/>
        <n v="22887"/>
        <n v="110368"/>
        <n v="194430"/>
        <n v="139728"/>
        <n v="38877"/>
        <n v="27758"/>
        <n v="29311"/>
        <n v="172514"/>
        <n v="37134"/>
        <n v="43268"/>
        <n v="150152"/>
        <n v="35519"/>
        <n v="55973"/>
        <n v="116317"/>
        <n v="183940"/>
        <n v="78356"/>
        <n v="106095"/>
        <n v="205254"/>
        <n v="155339"/>
        <n v="30822"/>
        <n v="126397"/>
        <n v="41838"/>
        <n v="123858"/>
        <n v="53675"/>
        <n v="38226"/>
        <n v="58485"/>
        <n v="160483"/>
        <n v="110968"/>
        <n v="41072"/>
        <n v="142152"/>
        <n v="46880"/>
        <n v="56512"/>
        <n v="47644"/>
        <n v="96530"/>
        <n v="165363"/>
        <n v="162636"/>
        <n v="162235"/>
        <n v="61059"/>
        <n v="248759"/>
        <n v="28862"/>
        <n v="70477"/>
        <n v="139823"/>
        <n v="41637"/>
        <n v="136047"/>
        <n v="93757"/>
        <n v="23244"/>
        <n v="27710"/>
        <n v="29376"/>
        <n v="66311"/>
        <n v="46505"/>
        <n v="30804"/>
        <n v="175009"/>
        <n v="72264"/>
        <n v="114896"/>
        <n v="88316"/>
        <n v="15664"/>
        <n v="32033"/>
        <n v="72181"/>
        <n v="134101"/>
        <n v="27012"/>
        <n v="26937"/>
        <n v="22715"/>
        <n v="46959"/>
        <n v="19208"/>
        <n v="36038"/>
        <n v="24403"/>
        <n v="126746"/>
        <n v="199531"/>
        <n v="174602"/>
        <n v="28752"/>
        <n v="209906"/>
        <n v="48090"/>
        <n v="17223"/>
        <n v="17829"/>
        <n v="146663"/>
        <n v="101859"/>
        <n v="169036"/>
        <n v="77287"/>
        <n v="17810"/>
        <n v="241963"/>
        <n v="91002"/>
        <n v="70928"/>
        <n v="77880"/>
        <n v="22485"/>
        <n v="180729"/>
        <n v="137342"/>
        <n v="31978"/>
        <n v="165860"/>
        <n v="24901"/>
        <n v="87091"/>
        <n v="49996"/>
        <n v="94114"/>
        <n v="45495"/>
        <n v="82616"/>
        <n v="178445"/>
        <n v="128146"/>
        <n v="52895"/>
        <n v="21613"/>
        <n v="34335"/>
        <n v="50922"/>
        <n v="113221"/>
        <n v="57077"/>
        <n v="70511"/>
        <n v="14990"/>
        <n v="18133"/>
        <n v="108757"/>
        <n v="44739"/>
        <n v="57010"/>
        <n v="98934"/>
        <n v="69610"/>
        <n v="58515"/>
        <n v="152207"/>
        <n v="108225"/>
        <n v="66177"/>
        <n v="94354"/>
        <n v="121922"/>
        <n v="87316"/>
        <n v="97790"/>
        <n v="88843"/>
        <n v="71189"/>
        <n v="38594"/>
      </sharedItems>
    </cacheField>
  </cacheFields>
  <extLst>
    <ext xmlns:x14="http://schemas.microsoft.com/office/spreadsheetml/2009/9/main" uri="{725AE2AE-9491-48be-B2B4-4EB974FC3084}">
      <x14:pivotCacheDefinition pivotCacheId="167203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5-01-01T00:00:00"/>
    <x v="0"/>
    <x v="0"/>
    <n v="204436"/>
    <n v="120700"/>
    <n v="377"/>
    <x v="0"/>
    <s v="Electronics"/>
    <s v="Online"/>
    <x v="0"/>
    <x v="0"/>
    <x v="0"/>
    <n v="84.4"/>
    <n v="83327"/>
    <n v="2025"/>
    <x v="0"/>
    <x v="0"/>
  </r>
  <r>
    <d v="2025-01-02T00:00:00"/>
    <x v="0"/>
    <x v="1"/>
    <n v="193781"/>
    <n v="45471"/>
    <n v="1056"/>
    <x v="1"/>
    <s v="Apparel"/>
    <s v="Distributor"/>
    <x v="1"/>
    <x v="1"/>
    <x v="1"/>
    <n v="75"/>
    <n v="156034"/>
    <n v="2025"/>
    <x v="0"/>
    <x v="1"/>
  </r>
  <r>
    <d v="2025-01-03T00:00:00"/>
    <x v="1"/>
    <x v="1"/>
    <n v="262384"/>
    <n v="159850"/>
    <n v="1085"/>
    <x v="2"/>
    <s v="Apparel"/>
    <s v="Online"/>
    <x v="2"/>
    <x v="2"/>
    <x v="2"/>
    <n v="86.3"/>
    <n v="94614"/>
    <n v="2025"/>
    <x v="0"/>
    <x v="2"/>
  </r>
  <r>
    <d v="2025-01-04T00:00:00"/>
    <x v="2"/>
    <x v="2"/>
    <n v="102609"/>
    <n v="34663"/>
    <n v="916"/>
    <x v="3"/>
    <s v="Food"/>
    <s v="Online"/>
    <x v="2"/>
    <x v="3"/>
    <x v="3"/>
    <n v="93.2"/>
    <n v="73784"/>
    <n v="2025"/>
    <x v="0"/>
    <x v="3"/>
  </r>
  <r>
    <d v="2025-01-05T00:00:00"/>
    <x v="2"/>
    <x v="1"/>
    <n v="277713"/>
    <n v="63818"/>
    <n v="886"/>
    <x v="4"/>
    <s v="Electronics"/>
    <s v="Retail"/>
    <x v="0"/>
    <x v="2"/>
    <x v="4"/>
    <n v="97.9"/>
    <n v="198833"/>
    <n v="2025"/>
    <x v="0"/>
    <x v="4"/>
  </r>
  <r>
    <d v="2025-01-06T00:00:00"/>
    <x v="1"/>
    <x v="3"/>
    <n v="69628"/>
    <n v="47977"/>
    <n v="825"/>
    <x v="5"/>
    <s v="Apparel"/>
    <s v="Retail"/>
    <x v="1"/>
    <x v="2"/>
    <x v="5"/>
    <n v="75"/>
    <n v="22998"/>
    <n v="2025"/>
    <x v="0"/>
    <x v="5"/>
  </r>
  <r>
    <d v="2025-01-07T00:00:00"/>
    <x v="2"/>
    <x v="4"/>
    <n v="90886"/>
    <n v="66012"/>
    <n v="1426"/>
    <x v="6"/>
    <s v="Electronics"/>
    <s v="Retail"/>
    <x v="3"/>
    <x v="4"/>
    <x v="6"/>
    <n v="77.8"/>
    <n v="27213"/>
    <n v="2025"/>
    <x v="0"/>
    <x v="6"/>
  </r>
  <r>
    <d v="2025-01-08T00:00:00"/>
    <x v="3"/>
    <x v="1"/>
    <n v="170237"/>
    <n v="67232"/>
    <n v="1172"/>
    <x v="7"/>
    <s v="Apparel"/>
    <s v="Retail"/>
    <x v="2"/>
    <x v="5"/>
    <x v="7"/>
    <n v="85.6"/>
    <n v="106590"/>
    <n v="2025"/>
    <x v="0"/>
    <x v="7"/>
  </r>
  <r>
    <d v="2025-01-09T00:00:00"/>
    <x v="1"/>
    <x v="5"/>
    <n v="179985"/>
    <n v="45786"/>
    <n v="1426"/>
    <x v="8"/>
    <s v="Food"/>
    <s v="Distributor"/>
    <x v="2"/>
    <x v="6"/>
    <x v="8"/>
    <n v="93.9"/>
    <n v="137270"/>
    <n v="2025"/>
    <x v="0"/>
    <x v="8"/>
  </r>
  <r>
    <d v="2025-01-10T00:00:00"/>
    <x v="3"/>
    <x v="4"/>
    <n v="239605"/>
    <n v="127247"/>
    <n v="1277"/>
    <x v="9"/>
    <s v="Food"/>
    <s v="Online"/>
    <x v="4"/>
    <x v="7"/>
    <x v="9"/>
    <n v="75.5"/>
    <n v="103347"/>
    <n v="2025"/>
    <x v="0"/>
    <x v="9"/>
  </r>
  <r>
    <d v="2025-01-11T00:00:00"/>
    <x v="2"/>
    <x v="0"/>
    <n v="178314"/>
    <n v="48175"/>
    <n v="511"/>
    <x v="10"/>
    <s v="Healthcare"/>
    <s v="Online"/>
    <x v="3"/>
    <x v="8"/>
    <x v="10"/>
    <n v="85.2"/>
    <n v="133306"/>
    <n v="2025"/>
    <x v="0"/>
    <x v="10"/>
  </r>
  <r>
    <d v="2025-01-12T00:00:00"/>
    <x v="0"/>
    <x v="1"/>
    <n v="124855"/>
    <n v="95380"/>
    <n v="1339"/>
    <x v="11"/>
    <s v="Food"/>
    <s v="Retail"/>
    <x v="1"/>
    <x v="1"/>
    <x v="11"/>
    <n v="90.2"/>
    <n v="30335"/>
    <n v="2025"/>
    <x v="0"/>
    <x v="11"/>
  </r>
  <r>
    <d v="2025-01-13T00:00:00"/>
    <x v="0"/>
    <x v="4"/>
    <n v="278619"/>
    <n v="188419"/>
    <n v="1079"/>
    <x v="12"/>
    <s v="Furniture"/>
    <s v="Retail"/>
    <x v="0"/>
    <x v="4"/>
    <x v="12"/>
    <n v="81.900000000000006"/>
    <n v="91367"/>
    <n v="2025"/>
    <x v="0"/>
    <x v="12"/>
  </r>
  <r>
    <d v="2025-01-14T00:00:00"/>
    <x v="1"/>
    <x v="0"/>
    <n v="170113"/>
    <n v="56234"/>
    <n v="1208"/>
    <x v="13"/>
    <s v="Apparel"/>
    <s v="Distributor"/>
    <x v="2"/>
    <x v="6"/>
    <x v="13"/>
    <n v="87.8"/>
    <n v="108177"/>
    <n v="2025"/>
    <x v="0"/>
    <x v="13"/>
  </r>
  <r>
    <d v="2025-01-15T00:00:00"/>
    <x v="1"/>
    <x v="3"/>
    <n v="114678"/>
    <n v="78515"/>
    <n v="1117"/>
    <x v="14"/>
    <s v="Furniture"/>
    <s v="Distributor"/>
    <x v="4"/>
    <x v="6"/>
    <x v="14"/>
    <n v="93.4"/>
    <n v="37872"/>
    <n v="2025"/>
    <x v="0"/>
    <x v="14"/>
  </r>
  <r>
    <d v="2025-01-16T00:00:00"/>
    <x v="3"/>
    <x v="4"/>
    <n v="197449"/>
    <n v="88377"/>
    <n v="390"/>
    <x v="15"/>
    <s v="Furniture"/>
    <s v="Online"/>
    <x v="1"/>
    <x v="6"/>
    <x v="15"/>
    <n v="85.8"/>
    <n v="99546"/>
    <n v="2025"/>
    <x v="0"/>
    <x v="15"/>
  </r>
  <r>
    <d v="2025-01-17T00:00:00"/>
    <x v="0"/>
    <x v="0"/>
    <n v="294442"/>
    <n v="41318"/>
    <n v="1013"/>
    <x v="16"/>
    <s v="Food"/>
    <s v="Online"/>
    <x v="3"/>
    <x v="3"/>
    <x v="16"/>
    <n v="98"/>
    <n v="266602"/>
    <n v="2025"/>
    <x v="0"/>
    <x v="16"/>
  </r>
  <r>
    <d v="2025-01-18T00:00:00"/>
    <x v="2"/>
    <x v="0"/>
    <n v="185819"/>
    <n v="124626"/>
    <n v="1027"/>
    <x v="17"/>
    <s v="Apparel"/>
    <s v="Distributor"/>
    <x v="4"/>
    <x v="7"/>
    <x v="17"/>
    <n v="87.7"/>
    <n v="66378"/>
    <n v="2025"/>
    <x v="0"/>
    <x v="17"/>
  </r>
  <r>
    <d v="2025-01-19T00:00:00"/>
    <x v="2"/>
    <x v="1"/>
    <n v="161168"/>
    <n v="59114"/>
    <n v="590"/>
    <x v="18"/>
    <s v="Apparel"/>
    <s v="Retail"/>
    <x v="1"/>
    <x v="1"/>
    <x v="18"/>
    <n v="92.3"/>
    <n v="104563"/>
    <n v="2025"/>
    <x v="0"/>
    <x v="18"/>
  </r>
  <r>
    <d v="2025-01-20T00:00:00"/>
    <x v="0"/>
    <x v="3"/>
    <n v="104055"/>
    <n v="81352"/>
    <n v="822"/>
    <x v="19"/>
    <s v="Food"/>
    <s v="Retail"/>
    <x v="2"/>
    <x v="3"/>
    <x v="19"/>
    <n v="93.4"/>
    <n v="21761"/>
    <n v="2025"/>
    <x v="0"/>
    <x v="19"/>
  </r>
  <r>
    <d v="2025-01-21T00:00:00"/>
    <x v="1"/>
    <x v="1"/>
    <n v="155482"/>
    <n v="77797"/>
    <n v="1267"/>
    <x v="20"/>
    <s v="Food"/>
    <s v="Retail"/>
    <x v="3"/>
    <x v="5"/>
    <x v="3"/>
    <n v="94.3"/>
    <n v="75127"/>
    <n v="2025"/>
    <x v="0"/>
    <x v="20"/>
  </r>
  <r>
    <d v="2025-01-22T00:00:00"/>
    <x v="3"/>
    <x v="4"/>
    <n v="237715"/>
    <n v="160209"/>
    <n v="250"/>
    <x v="21"/>
    <s v="Electronics"/>
    <s v="Distributor"/>
    <x v="0"/>
    <x v="6"/>
    <x v="20"/>
    <n v="98.9"/>
    <n v="72185"/>
    <n v="2025"/>
    <x v="0"/>
    <x v="21"/>
  </r>
  <r>
    <d v="2025-01-23T00:00:00"/>
    <x v="1"/>
    <x v="5"/>
    <n v="92463"/>
    <n v="70713"/>
    <n v="1085"/>
    <x v="22"/>
    <s v="Food"/>
    <s v="Online"/>
    <x v="4"/>
    <x v="0"/>
    <x v="21"/>
    <n v="86.6"/>
    <n v="20978"/>
    <n v="2025"/>
    <x v="0"/>
    <x v="22"/>
  </r>
  <r>
    <d v="2025-01-24T00:00:00"/>
    <x v="0"/>
    <x v="5"/>
    <n v="175802"/>
    <n v="73510"/>
    <n v="1223"/>
    <x v="23"/>
    <s v="Healthcare"/>
    <s v="Distributor"/>
    <x v="2"/>
    <x v="1"/>
    <x v="19"/>
    <n v="78.7"/>
    <n v="96230"/>
    <n v="2025"/>
    <x v="0"/>
    <x v="23"/>
  </r>
  <r>
    <d v="2025-01-25T00:00:00"/>
    <x v="2"/>
    <x v="2"/>
    <n v="285131"/>
    <n v="170766"/>
    <n v="1379"/>
    <x v="24"/>
    <s v="Furniture"/>
    <s v="Distributor"/>
    <x v="2"/>
    <x v="6"/>
    <x v="10"/>
    <n v="97.5"/>
    <n v="104484"/>
    <n v="2025"/>
    <x v="0"/>
    <x v="24"/>
  </r>
  <r>
    <d v="2025-01-26T00:00:00"/>
    <x v="0"/>
    <x v="2"/>
    <n v="196400"/>
    <n v="30367"/>
    <n v="1003"/>
    <x v="25"/>
    <s v="Electronics"/>
    <s v="Distributor"/>
    <x v="4"/>
    <x v="2"/>
    <x v="22"/>
    <n v="84.9"/>
    <n v="153351"/>
    <n v="2025"/>
    <x v="0"/>
    <x v="25"/>
  </r>
  <r>
    <d v="2025-01-27T00:00:00"/>
    <x v="3"/>
    <x v="2"/>
    <n v="91209"/>
    <n v="71640"/>
    <n v="200"/>
    <x v="26"/>
    <s v="Healthcare"/>
    <s v="Retail"/>
    <x v="4"/>
    <x v="6"/>
    <x v="23"/>
    <n v="94.2"/>
    <n v="20607"/>
    <n v="2025"/>
    <x v="0"/>
    <x v="26"/>
  </r>
  <r>
    <d v="2025-01-28T00:00:00"/>
    <x v="0"/>
    <x v="3"/>
    <n v="235561"/>
    <n v="51961"/>
    <n v="828"/>
    <x v="27"/>
    <s v="Apparel"/>
    <s v="Distributor"/>
    <x v="2"/>
    <x v="9"/>
    <x v="24"/>
    <n v="95.4"/>
    <n v="200002"/>
    <n v="2025"/>
    <x v="0"/>
    <x v="27"/>
  </r>
  <r>
    <d v="2025-01-29T00:00:00"/>
    <x v="2"/>
    <x v="2"/>
    <n v="222331"/>
    <n v="108730"/>
    <n v="1074"/>
    <x v="28"/>
    <s v="Electronics"/>
    <s v="Online"/>
    <x v="3"/>
    <x v="1"/>
    <x v="25"/>
    <n v="95.4"/>
    <n v="113982"/>
    <n v="2025"/>
    <x v="0"/>
    <x v="28"/>
  </r>
  <r>
    <d v="2025-01-30T00:00:00"/>
    <x v="2"/>
    <x v="4"/>
    <n v="203316"/>
    <n v="160576"/>
    <n v="232"/>
    <x v="29"/>
    <s v="Food"/>
    <s v="Online"/>
    <x v="4"/>
    <x v="6"/>
    <x v="26"/>
    <n v="91.7"/>
    <n v="42352"/>
    <n v="2025"/>
    <x v="0"/>
    <x v="29"/>
  </r>
  <r>
    <d v="2025-01-31T00:00:00"/>
    <x v="3"/>
    <x v="3"/>
    <n v="90505"/>
    <n v="54241"/>
    <n v="1212"/>
    <x v="30"/>
    <s v="Apparel"/>
    <s v="Distributor"/>
    <x v="4"/>
    <x v="8"/>
    <x v="27"/>
    <n v="86.7"/>
    <n v="38695"/>
    <n v="2025"/>
    <x v="0"/>
    <x v="30"/>
  </r>
  <r>
    <d v="2025-02-01T00:00:00"/>
    <x v="3"/>
    <x v="4"/>
    <n v="58837"/>
    <n v="44259"/>
    <n v="1178"/>
    <x v="31"/>
    <s v="Electronics"/>
    <s v="Distributor"/>
    <x v="3"/>
    <x v="3"/>
    <x v="28"/>
    <n v="91.2"/>
    <n v="15931"/>
    <n v="2025"/>
    <x v="1"/>
    <x v="31"/>
  </r>
  <r>
    <d v="2025-02-02T00:00:00"/>
    <x v="2"/>
    <x v="4"/>
    <n v="280747"/>
    <n v="222946"/>
    <n v="1070"/>
    <x v="32"/>
    <s v="Electronics"/>
    <s v="Distributor"/>
    <x v="2"/>
    <x v="6"/>
    <x v="29"/>
    <n v="98.2"/>
    <n v="63001"/>
    <n v="2025"/>
    <x v="1"/>
    <x v="32"/>
  </r>
  <r>
    <d v="2025-02-03T00:00:00"/>
    <x v="2"/>
    <x v="2"/>
    <n v="108017"/>
    <n v="36641"/>
    <n v="782"/>
    <x v="33"/>
    <s v="Healthcare"/>
    <s v="Online"/>
    <x v="3"/>
    <x v="8"/>
    <x v="30"/>
    <n v="96.2"/>
    <n v="69049"/>
    <n v="2025"/>
    <x v="1"/>
    <x v="33"/>
  </r>
  <r>
    <d v="2025-02-04T00:00:00"/>
    <x v="0"/>
    <x v="0"/>
    <n v="199690"/>
    <n v="139469"/>
    <n v="1351"/>
    <x v="34"/>
    <s v="Apparel"/>
    <s v="Distributor"/>
    <x v="2"/>
    <x v="6"/>
    <x v="31"/>
    <n v="93.8"/>
    <n v="56964"/>
    <n v="2025"/>
    <x v="1"/>
    <x v="34"/>
  </r>
  <r>
    <d v="2025-02-05T00:00:00"/>
    <x v="2"/>
    <x v="5"/>
    <n v="190516"/>
    <n v="47108"/>
    <n v="701"/>
    <x v="35"/>
    <s v="Furniture"/>
    <s v="Distributor"/>
    <x v="0"/>
    <x v="6"/>
    <x v="32"/>
    <n v="84.8"/>
    <n v="135565"/>
    <n v="2025"/>
    <x v="1"/>
    <x v="35"/>
  </r>
  <r>
    <d v="2025-02-06T00:00:00"/>
    <x v="3"/>
    <x v="4"/>
    <n v="263787"/>
    <n v="131782"/>
    <n v="1419"/>
    <x v="36"/>
    <s v="Furniture"/>
    <s v="Distributor"/>
    <x v="2"/>
    <x v="0"/>
    <x v="33"/>
    <n v="86.1"/>
    <n v="119925"/>
    <n v="2025"/>
    <x v="1"/>
    <x v="36"/>
  </r>
  <r>
    <d v="2025-02-07T00:00:00"/>
    <x v="3"/>
    <x v="1"/>
    <n v="234214"/>
    <n v="58388"/>
    <n v="1346"/>
    <x v="37"/>
    <s v="Healthcare"/>
    <s v="Distributor"/>
    <x v="1"/>
    <x v="0"/>
    <x v="34"/>
    <n v="97.4"/>
    <n v="178813"/>
    <n v="2025"/>
    <x v="1"/>
    <x v="37"/>
  </r>
  <r>
    <d v="2025-02-08T00:00:00"/>
    <x v="3"/>
    <x v="5"/>
    <n v="222223"/>
    <n v="149281"/>
    <n v="767"/>
    <x v="38"/>
    <s v="Healthcare"/>
    <s v="Online"/>
    <x v="0"/>
    <x v="9"/>
    <x v="35"/>
    <n v="93.5"/>
    <n v="72917"/>
    <n v="2025"/>
    <x v="1"/>
    <x v="38"/>
  </r>
  <r>
    <d v="2025-02-09T00:00:00"/>
    <x v="3"/>
    <x v="4"/>
    <n v="208256"/>
    <n v="106663"/>
    <n v="857"/>
    <x v="39"/>
    <s v="Apparel"/>
    <s v="Retail"/>
    <x v="1"/>
    <x v="6"/>
    <x v="7"/>
    <n v="89.4"/>
    <n v="91656"/>
    <n v="2025"/>
    <x v="1"/>
    <x v="39"/>
  </r>
  <r>
    <d v="2025-02-10T00:00:00"/>
    <x v="0"/>
    <x v="2"/>
    <n v="85659"/>
    <n v="64879"/>
    <n v="1123"/>
    <x v="40"/>
    <s v="Furniture"/>
    <s v="Distributor"/>
    <x v="3"/>
    <x v="6"/>
    <x v="36"/>
    <n v="82.1"/>
    <n v="20095"/>
    <n v="2025"/>
    <x v="1"/>
    <x v="40"/>
  </r>
  <r>
    <d v="2025-02-11T00:00:00"/>
    <x v="2"/>
    <x v="4"/>
    <n v="101859"/>
    <n v="56240"/>
    <n v="739"/>
    <x v="41"/>
    <s v="Apparel"/>
    <s v="Online"/>
    <x v="3"/>
    <x v="6"/>
    <x v="23"/>
    <n v="83.5"/>
    <n v="47882"/>
    <n v="2025"/>
    <x v="1"/>
    <x v="41"/>
  </r>
  <r>
    <d v="2025-02-12T00:00:00"/>
    <x v="3"/>
    <x v="4"/>
    <n v="288634"/>
    <n v="170533"/>
    <n v="501"/>
    <x v="42"/>
    <s v="Electronics"/>
    <s v="Distributor"/>
    <x v="3"/>
    <x v="6"/>
    <x v="37"/>
    <n v="89.9"/>
    <n v="123145"/>
    <n v="2025"/>
    <x v="1"/>
    <x v="42"/>
  </r>
  <r>
    <d v="2025-02-13T00:00:00"/>
    <x v="0"/>
    <x v="3"/>
    <n v="154734"/>
    <n v="34414"/>
    <n v="471"/>
    <x v="43"/>
    <s v="Furniture"/>
    <s v="Retail"/>
    <x v="4"/>
    <x v="6"/>
    <x v="38"/>
    <n v="90"/>
    <n v="110435"/>
    <n v="2025"/>
    <x v="1"/>
    <x v="43"/>
  </r>
  <r>
    <d v="2025-02-14T00:00:00"/>
    <x v="2"/>
    <x v="3"/>
    <n v="170582"/>
    <n v="76354"/>
    <n v="885"/>
    <x v="44"/>
    <s v="Healthcare"/>
    <s v="Online"/>
    <x v="0"/>
    <x v="8"/>
    <x v="39"/>
    <n v="82"/>
    <n v="94802"/>
    <n v="2025"/>
    <x v="1"/>
    <x v="44"/>
  </r>
  <r>
    <d v="2025-02-15T00:00:00"/>
    <x v="0"/>
    <x v="4"/>
    <n v="74683"/>
    <n v="48134"/>
    <n v="1240"/>
    <x v="45"/>
    <s v="Apparel"/>
    <s v="Retail"/>
    <x v="4"/>
    <x v="6"/>
    <x v="40"/>
    <n v="76.099999999999994"/>
    <n v="26197"/>
    <n v="2025"/>
    <x v="1"/>
    <x v="45"/>
  </r>
  <r>
    <d v="2025-02-16T00:00:00"/>
    <x v="2"/>
    <x v="2"/>
    <n v="187760"/>
    <n v="42075"/>
    <n v="790"/>
    <x v="46"/>
    <s v="Healthcare"/>
    <s v="Online"/>
    <x v="3"/>
    <x v="6"/>
    <x v="41"/>
    <n v="96.3"/>
    <n v="142325"/>
    <n v="2025"/>
    <x v="1"/>
    <x v="46"/>
  </r>
  <r>
    <d v="2025-02-17T00:00:00"/>
    <x v="0"/>
    <x v="2"/>
    <n v="54220"/>
    <n v="40563"/>
    <n v="1248"/>
    <x v="47"/>
    <s v="Furniture"/>
    <s v="Distributor"/>
    <x v="4"/>
    <x v="6"/>
    <x v="42"/>
    <n v="89"/>
    <n v="13609"/>
    <n v="2025"/>
    <x v="1"/>
    <x v="47"/>
  </r>
  <r>
    <d v="2025-02-18T00:00:00"/>
    <x v="3"/>
    <x v="1"/>
    <n v="150724"/>
    <n v="104082"/>
    <n v="593"/>
    <x v="48"/>
    <s v="Food"/>
    <s v="Retail"/>
    <x v="0"/>
    <x v="1"/>
    <x v="43"/>
    <n v="76.400000000000006"/>
    <n v="49977"/>
    <n v="2025"/>
    <x v="1"/>
    <x v="48"/>
  </r>
  <r>
    <d v="2025-02-19T00:00:00"/>
    <x v="3"/>
    <x v="0"/>
    <n v="55360"/>
    <n v="35066"/>
    <n v="1110"/>
    <x v="49"/>
    <s v="Apparel"/>
    <s v="Distributor"/>
    <x v="2"/>
    <x v="3"/>
    <x v="44"/>
    <n v="77.400000000000006"/>
    <n v="20756"/>
    <n v="2025"/>
    <x v="1"/>
    <x v="49"/>
  </r>
  <r>
    <d v="2025-02-20T00:00:00"/>
    <x v="0"/>
    <x v="5"/>
    <n v="163277"/>
    <n v="59884"/>
    <n v="226"/>
    <x v="50"/>
    <s v="Electronics"/>
    <s v="Distributor"/>
    <x v="2"/>
    <x v="6"/>
    <x v="45"/>
    <n v="96"/>
    <n v="93883"/>
    <n v="2025"/>
    <x v="1"/>
    <x v="50"/>
  </r>
  <r>
    <d v="2025-02-21T00:00:00"/>
    <x v="0"/>
    <x v="4"/>
    <n v="194393"/>
    <n v="129025"/>
    <n v="918"/>
    <x v="51"/>
    <s v="Food"/>
    <s v="Distributor"/>
    <x v="2"/>
    <x v="5"/>
    <x v="46"/>
    <n v="97.4"/>
    <n v="68208"/>
    <n v="2025"/>
    <x v="1"/>
    <x v="51"/>
  </r>
  <r>
    <d v="2025-02-22T00:00:00"/>
    <x v="3"/>
    <x v="2"/>
    <n v="253258"/>
    <n v="162982"/>
    <n v="436"/>
    <x v="52"/>
    <s v="Apparel"/>
    <s v="Retail"/>
    <x v="1"/>
    <x v="4"/>
    <x v="47"/>
    <n v="77.3"/>
    <n v="87319"/>
    <n v="2025"/>
    <x v="1"/>
    <x v="52"/>
  </r>
  <r>
    <d v="2025-02-23T00:00:00"/>
    <x v="2"/>
    <x v="3"/>
    <n v="163213"/>
    <n v="122300"/>
    <n v="845"/>
    <x v="53"/>
    <s v="Apparel"/>
    <s v="Online"/>
    <x v="0"/>
    <x v="4"/>
    <x v="48"/>
    <n v="82"/>
    <n v="37343"/>
    <n v="2025"/>
    <x v="1"/>
    <x v="53"/>
  </r>
  <r>
    <d v="2025-02-24T00:00:00"/>
    <x v="1"/>
    <x v="2"/>
    <n v="157334"/>
    <n v="90763"/>
    <n v="1101"/>
    <x v="54"/>
    <s v="Healthcare"/>
    <s v="Distributor"/>
    <x v="4"/>
    <x v="6"/>
    <x v="49"/>
    <n v="76.5"/>
    <n v="62218"/>
    <n v="2025"/>
    <x v="1"/>
    <x v="54"/>
  </r>
  <r>
    <d v="2025-02-25T00:00:00"/>
    <x v="3"/>
    <x v="1"/>
    <n v="51812"/>
    <n v="35934"/>
    <n v="1371"/>
    <x v="55"/>
    <s v="Food"/>
    <s v="Distributor"/>
    <x v="0"/>
    <x v="6"/>
    <x v="50"/>
    <n v="88.3"/>
    <n v="16623"/>
    <n v="2025"/>
    <x v="1"/>
    <x v="55"/>
  </r>
  <r>
    <d v="2025-02-26T00:00:00"/>
    <x v="2"/>
    <x v="3"/>
    <n v="64996"/>
    <n v="36352"/>
    <n v="957"/>
    <x v="56"/>
    <s v="Healthcare"/>
    <s v="Retail"/>
    <x v="3"/>
    <x v="2"/>
    <x v="20"/>
    <n v="87.5"/>
    <n v="25959"/>
    <n v="2025"/>
    <x v="1"/>
    <x v="56"/>
  </r>
  <r>
    <d v="2025-02-27T00:00:00"/>
    <x v="3"/>
    <x v="2"/>
    <n v="250530"/>
    <n v="141432"/>
    <n v="1378"/>
    <x v="57"/>
    <s v="Furniture"/>
    <s v="Distributor"/>
    <x v="3"/>
    <x v="6"/>
    <x v="51"/>
    <n v="94.1"/>
    <n v="103721"/>
    <n v="2025"/>
    <x v="1"/>
    <x v="57"/>
  </r>
  <r>
    <d v="2025-02-28T00:00:00"/>
    <x v="2"/>
    <x v="0"/>
    <n v="246498"/>
    <n v="110512"/>
    <n v="1428"/>
    <x v="58"/>
    <s v="Healthcare"/>
    <s v="Online"/>
    <x v="2"/>
    <x v="3"/>
    <x v="52"/>
    <n v="91.7"/>
    <n v="141890"/>
    <n v="2025"/>
    <x v="1"/>
    <x v="58"/>
  </r>
  <r>
    <d v="2025-03-01T00:00:00"/>
    <x v="0"/>
    <x v="2"/>
    <n v="277680"/>
    <n v="183641"/>
    <n v="1439"/>
    <x v="59"/>
    <s v="Apparel"/>
    <s v="Online"/>
    <x v="3"/>
    <x v="1"/>
    <x v="53"/>
    <n v="83.1"/>
    <n v="86612"/>
    <n v="2025"/>
    <x v="2"/>
    <x v="59"/>
  </r>
  <r>
    <d v="2025-03-02T00:00:00"/>
    <x v="3"/>
    <x v="3"/>
    <n v="214995"/>
    <n v="54508"/>
    <n v="1179"/>
    <x v="60"/>
    <s v="Furniture"/>
    <s v="Retail"/>
    <x v="1"/>
    <x v="6"/>
    <x v="54"/>
    <n v="87.1"/>
    <n v="175671"/>
    <n v="2025"/>
    <x v="2"/>
    <x v="60"/>
  </r>
  <r>
    <d v="2025-03-03T00:00:00"/>
    <x v="0"/>
    <x v="3"/>
    <n v="265911"/>
    <n v="42051"/>
    <n v="1292"/>
    <x v="61"/>
    <s v="Electronics"/>
    <s v="Distributor"/>
    <x v="1"/>
    <x v="3"/>
    <x v="55"/>
    <n v="84"/>
    <n v="220839"/>
    <n v="2025"/>
    <x v="2"/>
    <x v="61"/>
  </r>
  <r>
    <d v="2025-03-04T00:00:00"/>
    <x v="1"/>
    <x v="4"/>
    <n v="154150"/>
    <n v="41294"/>
    <n v="1282"/>
    <x v="62"/>
    <s v="Healthcare"/>
    <s v="Online"/>
    <x v="2"/>
    <x v="9"/>
    <x v="56"/>
    <n v="76.099999999999994"/>
    <n v="111244"/>
    <n v="2025"/>
    <x v="2"/>
    <x v="62"/>
  </r>
  <r>
    <d v="2025-03-05T00:00:00"/>
    <x v="1"/>
    <x v="0"/>
    <n v="180710"/>
    <n v="32084"/>
    <n v="895"/>
    <x v="63"/>
    <s v="Apparel"/>
    <s v="Online"/>
    <x v="4"/>
    <x v="6"/>
    <x v="22"/>
    <n v="81"/>
    <n v="135833"/>
    <n v="2025"/>
    <x v="2"/>
    <x v="63"/>
  </r>
  <r>
    <d v="2025-03-06T00:00:00"/>
    <x v="3"/>
    <x v="0"/>
    <n v="191034"/>
    <n v="115083"/>
    <n v="1106"/>
    <x v="64"/>
    <s v="Apparel"/>
    <s v="Distributor"/>
    <x v="0"/>
    <x v="6"/>
    <x v="57"/>
    <n v="91"/>
    <n v="68944"/>
    <n v="2025"/>
    <x v="2"/>
    <x v="64"/>
  </r>
  <r>
    <d v="2025-03-07T00:00:00"/>
    <x v="1"/>
    <x v="3"/>
    <n v="220232"/>
    <n v="65953"/>
    <n v="1429"/>
    <x v="65"/>
    <s v="Food"/>
    <s v="Distributor"/>
    <x v="1"/>
    <x v="1"/>
    <x v="58"/>
    <n v="92.3"/>
    <n v="141760"/>
    <n v="2025"/>
    <x v="2"/>
    <x v="65"/>
  </r>
  <r>
    <d v="2025-03-08T00:00:00"/>
    <x v="1"/>
    <x v="2"/>
    <n v="282363"/>
    <n v="149371"/>
    <n v="443"/>
    <x v="66"/>
    <s v="Food"/>
    <s v="Online"/>
    <x v="0"/>
    <x v="6"/>
    <x v="20"/>
    <n v="98.5"/>
    <n v="123782"/>
    <n v="2025"/>
    <x v="2"/>
    <x v="66"/>
  </r>
  <r>
    <d v="2025-03-09T00:00:00"/>
    <x v="1"/>
    <x v="5"/>
    <n v="62386"/>
    <n v="38623"/>
    <n v="1218"/>
    <x v="67"/>
    <s v="Apparel"/>
    <s v="Distributor"/>
    <x v="1"/>
    <x v="3"/>
    <x v="59"/>
    <n v="81.900000000000006"/>
    <n v="23336"/>
    <n v="2025"/>
    <x v="2"/>
    <x v="67"/>
  </r>
  <r>
    <d v="2025-03-10T00:00:00"/>
    <x v="0"/>
    <x v="0"/>
    <n v="137197"/>
    <n v="74925"/>
    <n v="211"/>
    <x v="68"/>
    <s v="Food"/>
    <s v="Distributor"/>
    <x v="3"/>
    <x v="1"/>
    <x v="31"/>
    <n v="96.7"/>
    <n v="68162"/>
    <n v="2025"/>
    <x v="2"/>
    <x v="68"/>
  </r>
  <r>
    <d v="2025-03-11T00:00:00"/>
    <x v="2"/>
    <x v="3"/>
    <n v="77447"/>
    <n v="49752"/>
    <n v="519"/>
    <x v="69"/>
    <s v="Healthcare"/>
    <s v="Retail"/>
    <x v="2"/>
    <x v="0"/>
    <x v="60"/>
    <n v="91.7"/>
    <n v="27694"/>
    <n v="2025"/>
    <x v="2"/>
    <x v="69"/>
  </r>
  <r>
    <d v="2025-03-12T00:00:00"/>
    <x v="0"/>
    <x v="0"/>
    <n v="123522"/>
    <n v="56458"/>
    <n v="581"/>
    <x v="70"/>
    <s v="Food"/>
    <s v="Online"/>
    <x v="0"/>
    <x v="0"/>
    <x v="20"/>
    <n v="97.2"/>
    <n v="64065"/>
    <n v="2025"/>
    <x v="2"/>
    <x v="70"/>
  </r>
  <r>
    <d v="2025-03-13T00:00:00"/>
    <x v="1"/>
    <x v="5"/>
    <n v="259149"/>
    <n v="111053"/>
    <n v="1347"/>
    <x v="71"/>
    <s v="Apparel"/>
    <s v="Retail"/>
    <x v="4"/>
    <x v="6"/>
    <x v="32"/>
    <n v="75.2"/>
    <n v="140719"/>
    <n v="2025"/>
    <x v="2"/>
    <x v="71"/>
  </r>
  <r>
    <d v="2025-03-14T00:00:00"/>
    <x v="1"/>
    <x v="3"/>
    <n v="71533"/>
    <n v="51455"/>
    <n v="762"/>
    <x v="72"/>
    <s v="Electronics"/>
    <s v="Online"/>
    <x v="0"/>
    <x v="0"/>
    <x v="31"/>
    <n v="84.5"/>
    <n v="19983"/>
    <n v="2025"/>
    <x v="2"/>
    <x v="72"/>
  </r>
  <r>
    <d v="2025-03-15T00:00:00"/>
    <x v="2"/>
    <x v="4"/>
    <n v="87496"/>
    <n v="60548"/>
    <n v="298"/>
    <x v="73"/>
    <s v="Electronics"/>
    <s v="Distributor"/>
    <x v="3"/>
    <x v="4"/>
    <x v="61"/>
    <n v="77"/>
    <n v="26875"/>
    <n v="2025"/>
    <x v="2"/>
    <x v="73"/>
  </r>
  <r>
    <d v="2025-03-16T00:00:00"/>
    <x v="2"/>
    <x v="5"/>
    <n v="274558"/>
    <n v="172823"/>
    <n v="1058"/>
    <x v="74"/>
    <s v="Electronics"/>
    <s v="Online"/>
    <x v="1"/>
    <x v="2"/>
    <x v="62"/>
    <n v="91.3"/>
    <n v="92989"/>
    <n v="2025"/>
    <x v="2"/>
    <x v="74"/>
  </r>
  <r>
    <d v="2025-03-17T00:00:00"/>
    <x v="3"/>
    <x v="0"/>
    <n v="271020"/>
    <n v="116937"/>
    <n v="491"/>
    <x v="75"/>
    <s v="Food"/>
    <s v="Distributor"/>
    <x v="1"/>
    <x v="3"/>
    <x v="63"/>
    <n v="84.4"/>
    <n v="161039"/>
    <n v="2025"/>
    <x v="2"/>
    <x v="75"/>
  </r>
  <r>
    <d v="2025-03-18T00:00:00"/>
    <x v="3"/>
    <x v="3"/>
    <n v="157614"/>
    <n v="66496"/>
    <n v="761"/>
    <x v="76"/>
    <s v="Food"/>
    <s v="Distributor"/>
    <x v="2"/>
    <x v="6"/>
    <x v="8"/>
    <n v="97"/>
    <n v="83815"/>
    <n v="2025"/>
    <x v="2"/>
    <x v="76"/>
  </r>
  <r>
    <d v="2025-03-19T00:00:00"/>
    <x v="3"/>
    <x v="0"/>
    <n v="217918"/>
    <n v="101512"/>
    <n v="508"/>
    <x v="77"/>
    <s v="Healthcare"/>
    <s v="Online"/>
    <x v="3"/>
    <x v="1"/>
    <x v="64"/>
    <n v="81.900000000000006"/>
    <n v="126987"/>
    <n v="2025"/>
    <x v="2"/>
    <x v="77"/>
  </r>
  <r>
    <d v="2025-03-20T00:00:00"/>
    <x v="2"/>
    <x v="0"/>
    <n v="198730"/>
    <n v="123457"/>
    <n v="369"/>
    <x v="78"/>
    <s v="Electronics"/>
    <s v="Retail"/>
    <x v="3"/>
    <x v="3"/>
    <x v="65"/>
    <n v="87.3"/>
    <n v="73794"/>
    <n v="2025"/>
    <x v="2"/>
    <x v="78"/>
  </r>
  <r>
    <d v="2025-03-21T00:00:00"/>
    <x v="3"/>
    <x v="0"/>
    <n v="64543"/>
    <n v="46363"/>
    <n v="324"/>
    <x v="79"/>
    <s v="Furniture"/>
    <s v="Online"/>
    <x v="4"/>
    <x v="1"/>
    <x v="49"/>
    <n v="96"/>
    <n v="18494"/>
    <n v="2025"/>
    <x v="2"/>
    <x v="79"/>
  </r>
  <r>
    <d v="2025-03-22T00:00:00"/>
    <x v="1"/>
    <x v="2"/>
    <n v="216629"/>
    <n v="50526"/>
    <n v="1479"/>
    <x v="80"/>
    <s v="Healthcare"/>
    <s v="Distributor"/>
    <x v="2"/>
    <x v="7"/>
    <x v="66"/>
    <n v="79"/>
    <n v="161531"/>
    <n v="2025"/>
    <x v="2"/>
    <x v="80"/>
  </r>
  <r>
    <d v="2025-03-23T00:00:00"/>
    <x v="3"/>
    <x v="2"/>
    <n v="56040"/>
    <n v="33852"/>
    <n v="380"/>
    <x v="81"/>
    <s v="Apparel"/>
    <s v="Retail"/>
    <x v="2"/>
    <x v="2"/>
    <x v="40"/>
    <n v="84.9"/>
    <n v="23112"/>
    <n v="2025"/>
    <x v="2"/>
    <x v="81"/>
  </r>
  <r>
    <d v="2025-03-24T00:00:00"/>
    <x v="0"/>
    <x v="0"/>
    <n v="235303"/>
    <n v="95357"/>
    <n v="992"/>
    <x v="82"/>
    <s v="Food"/>
    <s v="Online"/>
    <x v="2"/>
    <x v="3"/>
    <x v="67"/>
    <n v="91.8"/>
    <n v="127365"/>
    <n v="2025"/>
    <x v="2"/>
    <x v="82"/>
  </r>
  <r>
    <d v="2025-03-25T00:00:00"/>
    <x v="0"/>
    <x v="0"/>
    <n v="168715"/>
    <n v="70763"/>
    <n v="821"/>
    <x v="83"/>
    <s v="Electronics"/>
    <s v="Distributor"/>
    <x v="3"/>
    <x v="6"/>
    <x v="68"/>
    <n v="81.3"/>
    <n v="92442"/>
    <n v="2025"/>
    <x v="2"/>
    <x v="83"/>
  </r>
  <r>
    <d v="2025-03-26T00:00:00"/>
    <x v="1"/>
    <x v="5"/>
    <n v="149824"/>
    <n v="106247"/>
    <n v="936"/>
    <x v="84"/>
    <s v="Electronics"/>
    <s v="Distributor"/>
    <x v="4"/>
    <x v="7"/>
    <x v="69"/>
    <n v="79.8"/>
    <n v="47302"/>
    <n v="2025"/>
    <x v="2"/>
    <x v="84"/>
  </r>
  <r>
    <d v="2025-03-27T00:00:00"/>
    <x v="0"/>
    <x v="4"/>
    <n v="279340"/>
    <n v="53085"/>
    <n v="657"/>
    <x v="85"/>
    <s v="Healthcare"/>
    <s v="Distributor"/>
    <x v="3"/>
    <x v="7"/>
    <x v="70"/>
    <n v="80.5"/>
    <n v="242015"/>
    <n v="2025"/>
    <x v="2"/>
    <x v="85"/>
  </r>
  <r>
    <d v="2025-03-28T00:00:00"/>
    <x v="3"/>
    <x v="2"/>
    <n v="70946"/>
    <n v="32642"/>
    <n v="1000"/>
    <x v="86"/>
    <s v="Healthcare"/>
    <s v="Distributor"/>
    <x v="0"/>
    <x v="2"/>
    <x v="71"/>
    <n v="91.6"/>
    <n v="35294"/>
    <n v="2025"/>
    <x v="2"/>
    <x v="86"/>
  </r>
  <r>
    <d v="2025-03-29T00:00:00"/>
    <x v="3"/>
    <x v="3"/>
    <n v="125953"/>
    <n v="43963"/>
    <n v="645"/>
    <x v="87"/>
    <s v="Electronics"/>
    <s v="Online"/>
    <x v="0"/>
    <x v="6"/>
    <x v="43"/>
    <n v="93.4"/>
    <n v="78662"/>
    <n v="2025"/>
    <x v="2"/>
    <x v="87"/>
  </r>
  <r>
    <d v="2025-03-30T00:00:00"/>
    <x v="3"/>
    <x v="3"/>
    <n v="177439"/>
    <n v="93246"/>
    <n v="1268"/>
    <x v="88"/>
    <s v="Food"/>
    <s v="Distributor"/>
    <x v="3"/>
    <x v="6"/>
    <x v="49"/>
    <n v="79.599999999999994"/>
    <n v="76346"/>
    <n v="2025"/>
    <x v="2"/>
    <x v="88"/>
  </r>
  <r>
    <d v="2025-03-31T00:00:00"/>
    <x v="1"/>
    <x v="0"/>
    <n v="133353"/>
    <n v="106325"/>
    <n v="893"/>
    <x v="89"/>
    <s v="Food"/>
    <s v="Retail"/>
    <x v="1"/>
    <x v="1"/>
    <x v="72"/>
    <n v="91.5"/>
    <n v="28386"/>
    <n v="2025"/>
    <x v="2"/>
    <x v="89"/>
  </r>
  <r>
    <d v="2025-04-01T00:00:00"/>
    <x v="0"/>
    <x v="0"/>
    <n v="105074"/>
    <n v="45315"/>
    <n v="720"/>
    <x v="90"/>
    <s v="Electronics"/>
    <s v="Distributor"/>
    <x v="4"/>
    <x v="6"/>
    <x v="73"/>
    <n v="77.400000000000006"/>
    <n v="53920"/>
    <n v="2025"/>
    <x v="3"/>
    <x v="90"/>
  </r>
  <r>
    <d v="2025-04-02T00:00:00"/>
    <x v="3"/>
    <x v="4"/>
    <n v="190785"/>
    <n v="108587"/>
    <n v="1478"/>
    <x v="91"/>
    <s v="Food"/>
    <s v="Retail"/>
    <x v="2"/>
    <x v="8"/>
    <x v="74"/>
    <n v="96.1"/>
    <n v="76952"/>
    <n v="2025"/>
    <x v="3"/>
    <x v="91"/>
  </r>
  <r>
    <d v="2025-04-03T00:00:00"/>
    <x v="0"/>
    <x v="5"/>
    <n v="106765"/>
    <n v="78930"/>
    <n v="1077"/>
    <x v="92"/>
    <s v="Healthcare"/>
    <s v="Retail"/>
    <x v="4"/>
    <x v="3"/>
    <x v="75"/>
    <n v="91.9"/>
    <n v="29488"/>
    <n v="2025"/>
    <x v="3"/>
    <x v="92"/>
  </r>
  <r>
    <d v="2025-04-04T00:00:00"/>
    <x v="1"/>
    <x v="3"/>
    <n v="140081"/>
    <n v="32784"/>
    <n v="1244"/>
    <x v="93"/>
    <s v="Food"/>
    <s v="Online"/>
    <x v="3"/>
    <x v="9"/>
    <x v="76"/>
    <n v="86.1"/>
    <n v="98339"/>
    <n v="2025"/>
    <x v="3"/>
    <x v="93"/>
  </r>
  <r>
    <d v="2025-04-05T00:00:00"/>
    <x v="3"/>
    <x v="0"/>
    <n v="71527"/>
    <n v="47497"/>
    <n v="1361"/>
    <x v="94"/>
    <s v="Healthcare"/>
    <s v="Retail"/>
    <x v="3"/>
    <x v="6"/>
    <x v="77"/>
    <n v="94.9"/>
    <n v="22011"/>
    <n v="2025"/>
    <x v="3"/>
    <x v="94"/>
  </r>
  <r>
    <d v="2025-04-06T00:00:00"/>
    <x v="1"/>
    <x v="1"/>
    <n v="204737"/>
    <n v="37262"/>
    <n v="938"/>
    <x v="95"/>
    <s v="Apparel"/>
    <s v="Online"/>
    <x v="3"/>
    <x v="5"/>
    <x v="78"/>
    <n v="76.900000000000006"/>
    <n v="156023"/>
    <n v="2025"/>
    <x v="3"/>
    <x v="95"/>
  </r>
  <r>
    <d v="2025-04-07T00:00:00"/>
    <x v="0"/>
    <x v="0"/>
    <n v="225349"/>
    <n v="173603"/>
    <n v="605"/>
    <x v="96"/>
    <s v="Furniture"/>
    <s v="Retail"/>
    <x v="2"/>
    <x v="9"/>
    <x v="55"/>
    <n v="81.8"/>
    <n v="54022"/>
    <n v="2025"/>
    <x v="3"/>
    <x v="96"/>
  </r>
  <r>
    <d v="2025-04-08T00:00:00"/>
    <x v="1"/>
    <x v="1"/>
    <n v="141906"/>
    <n v="53305"/>
    <n v="603"/>
    <x v="97"/>
    <s v="Electronics"/>
    <s v="Online"/>
    <x v="4"/>
    <x v="3"/>
    <x v="79"/>
    <n v="95.4"/>
    <n v="87402"/>
    <n v="2025"/>
    <x v="3"/>
    <x v="97"/>
  </r>
  <r>
    <d v="2025-04-09T00:00:00"/>
    <x v="3"/>
    <x v="5"/>
    <n v="227851"/>
    <n v="104599"/>
    <n v="1179"/>
    <x v="98"/>
    <s v="Furniture"/>
    <s v="Distributor"/>
    <x v="4"/>
    <x v="3"/>
    <x v="80"/>
    <n v="75.8"/>
    <n v="118061"/>
    <n v="2025"/>
    <x v="3"/>
    <x v="98"/>
  </r>
  <r>
    <d v="2025-04-10T00:00:00"/>
    <x v="2"/>
    <x v="2"/>
    <n v="246971"/>
    <n v="108580"/>
    <n v="907"/>
    <x v="99"/>
    <s v="Furniture"/>
    <s v="Retail"/>
    <x v="2"/>
    <x v="0"/>
    <x v="81"/>
    <n v="82.7"/>
    <n v="128641"/>
    <n v="2025"/>
    <x v="3"/>
    <x v="99"/>
  </r>
  <r>
    <d v="2025-04-11T00:00:00"/>
    <x v="0"/>
    <x v="5"/>
    <n v="260340"/>
    <n v="183537"/>
    <n v="666"/>
    <x v="100"/>
    <s v="Food"/>
    <s v="Online"/>
    <x v="3"/>
    <x v="6"/>
    <x v="82"/>
    <n v="76.8"/>
    <n v="76527"/>
    <n v="2025"/>
    <x v="3"/>
    <x v="100"/>
  </r>
  <r>
    <d v="2025-04-12T00:00:00"/>
    <x v="1"/>
    <x v="1"/>
    <n v="150288"/>
    <n v="74991"/>
    <n v="277"/>
    <x v="101"/>
    <s v="Apparel"/>
    <s v="Distributor"/>
    <x v="1"/>
    <x v="9"/>
    <x v="41"/>
    <n v="81.7"/>
    <n v="68551"/>
    <n v="2025"/>
    <x v="3"/>
    <x v="101"/>
  </r>
  <r>
    <d v="2025-04-13T00:00:00"/>
    <x v="3"/>
    <x v="4"/>
    <n v="150445"/>
    <n v="108882"/>
    <n v="971"/>
    <x v="102"/>
    <s v="Healthcare"/>
    <s v="Online"/>
    <x v="0"/>
    <x v="6"/>
    <x v="83"/>
    <n v="77.900000000000006"/>
    <n v="37491"/>
    <n v="2025"/>
    <x v="3"/>
    <x v="102"/>
  </r>
  <r>
    <d v="2025-04-14T00:00:00"/>
    <x v="1"/>
    <x v="4"/>
    <n v="195812"/>
    <n v="56804"/>
    <n v="1140"/>
    <x v="103"/>
    <s v="Healthcare"/>
    <s v="Online"/>
    <x v="1"/>
    <x v="2"/>
    <x v="29"/>
    <n v="77.7"/>
    <n v="141626"/>
    <n v="2025"/>
    <x v="3"/>
    <x v="103"/>
  </r>
  <r>
    <d v="2025-04-15T00:00:00"/>
    <x v="1"/>
    <x v="0"/>
    <n v="117789"/>
    <n v="32775"/>
    <n v="870"/>
    <x v="104"/>
    <s v="Furniture"/>
    <s v="Retail"/>
    <x v="4"/>
    <x v="6"/>
    <x v="84"/>
    <n v="97.4"/>
    <n v="93410"/>
    <n v="2025"/>
    <x v="3"/>
    <x v="104"/>
  </r>
  <r>
    <d v="2025-04-16T00:00:00"/>
    <x v="1"/>
    <x v="2"/>
    <n v="256049"/>
    <n v="178983"/>
    <n v="1254"/>
    <x v="105"/>
    <s v="Apparel"/>
    <s v="Retail"/>
    <x v="4"/>
    <x v="0"/>
    <x v="48"/>
    <n v="93.9"/>
    <n v="82478"/>
    <n v="2025"/>
    <x v="3"/>
    <x v="105"/>
  </r>
  <r>
    <d v="2025-04-17T00:00:00"/>
    <x v="3"/>
    <x v="1"/>
    <n v="227956"/>
    <n v="108375"/>
    <n v="338"/>
    <x v="106"/>
    <s v="Furniture"/>
    <s v="Retail"/>
    <x v="3"/>
    <x v="6"/>
    <x v="85"/>
    <n v="96.3"/>
    <n v="122784"/>
    <n v="2025"/>
    <x v="3"/>
    <x v="106"/>
  </r>
  <r>
    <d v="2025-04-18T00:00:00"/>
    <x v="0"/>
    <x v="3"/>
    <n v="296233"/>
    <n v="146326"/>
    <n v="374"/>
    <x v="107"/>
    <s v="Furniture"/>
    <s v="Distributor"/>
    <x v="1"/>
    <x v="6"/>
    <x v="86"/>
    <n v="89.7"/>
    <n v="159141"/>
    <n v="2025"/>
    <x v="3"/>
    <x v="107"/>
  </r>
  <r>
    <d v="2025-04-19T00:00:00"/>
    <x v="1"/>
    <x v="1"/>
    <n v="110097"/>
    <n v="85655"/>
    <n v="478"/>
    <x v="108"/>
    <s v="Electronics"/>
    <s v="Online"/>
    <x v="4"/>
    <x v="8"/>
    <x v="22"/>
    <n v="88.8"/>
    <n v="24745"/>
    <n v="2025"/>
    <x v="3"/>
    <x v="108"/>
  </r>
  <r>
    <d v="2025-04-20T00:00:00"/>
    <x v="2"/>
    <x v="4"/>
    <n v="142420"/>
    <n v="78030"/>
    <n v="1435"/>
    <x v="109"/>
    <s v="Furniture"/>
    <s v="Retail"/>
    <x v="2"/>
    <x v="1"/>
    <x v="87"/>
    <n v="93.7"/>
    <n v="63366"/>
    <n v="2025"/>
    <x v="3"/>
    <x v="109"/>
  </r>
  <r>
    <d v="2025-04-21T00:00:00"/>
    <x v="2"/>
    <x v="2"/>
    <n v="244670"/>
    <n v="36369"/>
    <n v="690"/>
    <x v="110"/>
    <s v="Furniture"/>
    <s v="Retail"/>
    <x v="2"/>
    <x v="7"/>
    <x v="88"/>
    <n v="89.7"/>
    <n v="211396"/>
    <n v="2025"/>
    <x v="3"/>
    <x v="110"/>
  </r>
  <r>
    <d v="2025-04-22T00:00:00"/>
    <x v="1"/>
    <x v="1"/>
    <n v="158945"/>
    <n v="103713"/>
    <n v="1173"/>
    <x v="111"/>
    <s v="Furniture"/>
    <s v="Retail"/>
    <x v="0"/>
    <x v="3"/>
    <x v="89"/>
    <n v="94.8"/>
    <n v="51544"/>
    <n v="2025"/>
    <x v="3"/>
    <x v="111"/>
  </r>
  <r>
    <d v="2025-04-23T00:00:00"/>
    <x v="3"/>
    <x v="3"/>
    <n v="64001"/>
    <n v="43676"/>
    <n v="1225"/>
    <x v="112"/>
    <s v="Healthcare"/>
    <s v="Distributor"/>
    <x v="3"/>
    <x v="7"/>
    <x v="28"/>
    <n v="90.2"/>
    <n v="22335"/>
    <n v="2025"/>
    <x v="3"/>
    <x v="112"/>
  </r>
  <r>
    <d v="2025-04-24T00:00:00"/>
    <x v="3"/>
    <x v="4"/>
    <n v="154516"/>
    <n v="87381"/>
    <n v="786"/>
    <x v="113"/>
    <s v="Healthcare"/>
    <s v="Online"/>
    <x v="2"/>
    <x v="3"/>
    <x v="66"/>
    <n v="94.4"/>
    <n v="64554"/>
    <n v="2025"/>
    <x v="3"/>
    <x v="113"/>
  </r>
  <r>
    <d v="2025-04-25T00:00:00"/>
    <x v="2"/>
    <x v="4"/>
    <n v="183778"/>
    <n v="83168"/>
    <n v="1353"/>
    <x v="114"/>
    <s v="Food"/>
    <s v="Retail"/>
    <x v="2"/>
    <x v="5"/>
    <x v="90"/>
    <n v="78.2"/>
    <n v="96237"/>
    <n v="2025"/>
    <x v="3"/>
    <x v="114"/>
  </r>
  <r>
    <d v="2025-04-26T00:00:00"/>
    <x v="0"/>
    <x v="1"/>
    <n v="63280"/>
    <n v="50385"/>
    <n v="1242"/>
    <x v="115"/>
    <s v="Apparel"/>
    <s v="Retail"/>
    <x v="3"/>
    <x v="1"/>
    <x v="91"/>
    <n v="93.8"/>
    <n v="12501"/>
    <n v="2025"/>
    <x v="3"/>
    <x v="115"/>
  </r>
  <r>
    <d v="2025-04-27T00:00:00"/>
    <x v="0"/>
    <x v="2"/>
    <n v="198994"/>
    <n v="78347"/>
    <n v="619"/>
    <x v="116"/>
    <s v="Apparel"/>
    <s v="Distributor"/>
    <x v="0"/>
    <x v="8"/>
    <x v="22"/>
    <n v="86.6"/>
    <n v="114858"/>
    <n v="2025"/>
    <x v="3"/>
    <x v="116"/>
  </r>
  <r>
    <d v="2025-04-28T00:00:00"/>
    <x v="1"/>
    <x v="5"/>
    <n v="101334"/>
    <n v="41567"/>
    <n v="1395"/>
    <x v="117"/>
    <s v="Healthcare"/>
    <s v="Online"/>
    <x v="4"/>
    <x v="7"/>
    <x v="92"/>
    <n v="95.2"/>
    <n v="63880"/>
    <n v="2025"/>
    <x v="3"/>
    <x v="117"/>
  </r>
  <r>
    <d v="2025-04-29T00:00:00"/>
    <x v="2"/>
    <x v="2"/>
    <n v="252062"/>
    <n v="99165"/>
    <n v="767"/>
    <x v="118"/>
    <s v="Furniture"/>
    <s v="Retail"/>
    <x v="0"/>
    <x v="6"/>
    <x v="93"/>
    <n v="76.5"/>
    <n v="147436"/>
    <n v="2025"/>
    <x v="3"/>
    <x v="118"/>
  </r>
  <r>
    <d v="2025-04-30T00:00:00"/>
    <x v="3"/>
    <x v="0"/>
    <n v="160809"/>
    <n v="70785"/>
    <n v="441"/>
    <x v="119"/>
    <s v="Furniture"/>
    <s v="Retail"/>
    <x v="2"/>
    <x v="0"/>
    <x v="59"/>
    <n v="78.099999999999994"/>
    <n v="91912"/>
    <n v="2025"/>
    <x v="3"/>
    <x v="119"/>
  </r>
  <r>
    <d v="2025-05-01T00:00:00"/>
    <x v="2"/>
    <x v="3"/>
    <n v="287782"/>
    <n v="131858"/>
    <n v="1169"/>
    <x v="120"/>
    <s v="Food"/>
    <s v="Retail"/>
    <x v="0"/>
    <x v="8"/>
    <x v="94"/>
    <n v="97.7"/>
    <n v="152205"/>
    <n v="2025"/>
    <x v="4"/>
    <x v="120"/>
  </r>
  <r>
    <d v="2025-05-02T00:00:00"/>
    <x v="3"/>
    <x v="1"/>
    <n v="67405"/>
    <n v="41469"/>
    <n v="1421"/>
    <x v="121"/>
    <s v="Food"/>
    <s v="Distributor"/>
    <x v="2"/>
    <x v="8"/>
    <x v="95"/>
    <n v="98.7"/>
    <n v="24204"/>
    <n v="2025"/>
    <x v="4"/>
    <x v="121"/>
  </r>
  <r>
    <d v="2025-05-03T00:00:00"/>
    <x v="3"/>
    <x v="0"/>
    <n v="291694"/>
    <n v="30391"/>
    <n v="1290"/>
    <x v="122"/>
    <s v="Apparel"/>
    <s v="Online"/>
    <x v="1"/>
    <x v="3"/>
    <x v="44"/>
    <n v="86.7"/>
    <n v="236752"/>
    <n v="2025"/>
    <x v="4"/>
    <x v="122"/>
  </r>
  <r>
    <d v="2025-05-04T00:00:00"/>
    <x v="0"/>
    <x v="0"/>
    <n v="80986"/>
    <n v="46780"/>
    <n v="1402"/>
    <x v="123"/>
    <s v="Furniture"/>
    <s v="Retail"/>
    <x v="3"/>
    <x v="1"/>
    <x v="96"/>
    <n v="88.5"/>
    <n v="33394"/>
    <n v="2025"/>
    <x v="4"/>
    <x v="123"/>
  </r>
  <r>
    <d v="2025-05-05T00:00:00"/>
    <x v="3"/>
    <x v="2"/>
    <n v="293426"/>
    <n v="34835"/>
    <n v="1353"/>
    <x v="124"/>
    <s v="Furniture"/>
    <s v="Retail"/>
    <x v="2"/>
    <x v="6"/>
    <x v="1"/>
    <n v="76.8"/>
    <n v="234228"/>
    <n v="2025"/>
    <x v="4"/>
    <x v="124"/>
  </r>
  <r>
    <d v="2025-05-06T00:00:00"/>
    <x v="3"/>
    <x v="3"/>
    <n v="259295"/>
    <n v="203006"/>
    <n v="493"/>
    <x v="125"/>
    <s v="Apparel"/>
    <s v="Retail"/>
    <x v="2"/>
    <x v="9"/>
    <x v="97"/>
    <n v="90.6"/>
    <n v="57847"/>
    <n v="2025"/>
    <x v="4"/>
    <x v="125"/>
  </r>
  <r>
    <d v="2025-05-07T00:00:00"/>
    <x v="0"/>
    <x v="4"/>
    <n v="168438"/>
    <n v="70499"/>
    <n v="462"/>
    <x v="126"/>
    <s v="Apparel"/>
    <s v="Retail"/>
    <x v="2"/>
    <x v="6"/>
    <x v="98"/>
    <n v="93.7"/>
    <n v="99095"/>
    <n v="2025"/>
    <x v="4"/>
    <x v="126"/>
  </r>
  <r>
    <d v="2025-05-08T00:00:00"/>
    <x v="2"/>
    <x v="3"/>
    <n v="289153"/>
    <n v="220819"/>
    <n v="430"/>
    <x v="127"/>
    <s v="Electronics"/>
    <s v="Online"/>
    <x v="3"/>
    <x v="6"/>
    <x v="99"/>
    <n v="88.5"/>
    <n v="61824"/>
    <n v="2025"/>
    <x v="4"/>
    <x v="127"/>
  </r>
  <r>
    <d v="2025-05-09T00:00:00"/>
    <x v="2"/>
    <x v="2"/>
    <n v="131590"/>
    <n v="32081"/>
    <n v="972"/>
    <x v="128"/>
    <s v="Food"/>
    <s v="Distributor"/>
    <x v="2"/>
    <x v="3"/>
    <x v="87"/>
    <n v="85.2"/>
    <n v="97249"/>
    <n v="2025"/>
    <x v="4"/>
    <x v="128"/>
  </r>
  <r>
    <d v="2025-05-10T00:00:00"/>
    <x v="0"/>
    <x v="2"/>
    <n v="65744"/>
    <n v="40246"/>
    <n v="268"/>
    <x v="129"/>
    <s v="Food"/>
    <s v="Online"/>
    <x v="0"/>
    <x v="7"/>
    <x v="23"/>
    <n v="87.9"/>
    <n v="24356"/>
    <n v="2025"/>
    <x v="4"/>
    <x v="129"/>
  </r>
  <r>
    <d v="2025-05-11T00:00:00"/>
    <x v="2"/>
    <x v="4"/>
    <n v="282867"/>
    <n v="204239"/>
    <n v="720"/>
    <x v="130"/>
    <s v="Food"/>
    <s v="Distributor"/>
    <x v="0"/>
    <x v="0"/>
    <x v="100"/>
    <n v="91.6"/>
    <n v="70973"/>
    <n v="2025"/>
    <x v="4"/>
    <x v="130"/>
  </r>
  <r>
    <d v="2025-05-12T00:00:00"/>
    <x v="2"/>
    <x v="4"/>
    <n v="240897"/>
    <n v="159102"/>
    <n v="639"/>
    <x v="131"/>
    <s v="Apparel"/>
    <s v="Distributor"/>
    <x v="4"/>
    <x v="3"/>
    <x v="95"/>
    <n v="81.8"/>
    <n v="74038"/>
    <n v="2025"/>
    <x v="4"/>
    <x v="131"/>
  </r>
  <r>
    <d v="2025-05-13T00:00:00"/>
    <x v="2"/>
    <x v="5"/>
    <n v="193894"/>
    <n v="139211"/>
    <n v="392"/>
    <x v="132"/>
    <s v="Food"/>
    <s v="Online"/>
    <x v="0"/>
    <x v="6"/>
    <x v="101"/>
    <n v="76.599999999999994"/>
    <n v="54611"/>
    <n v="2025"/>
    <x v="4"/>
    <x v="132"/>
  </r>
  <r>
    <d v="2025-05-14T00:00:00"/>
    <x v="3"/>
    <x v="2"/>
    <n v="167304"/>
    <n v="107729"/>
    <n v="1348"/>
    <x v="133"/>
    <s v="Healthcare"/>
    <s v="Retail"/>
    <x v="2"/>
    <x v="3"/>
    <x v="102"/>
    <n v="92.5"/>
    <n v="55472"/>
    <n v="2025"/>
    <x v="4"/>
    <x v="133"/>
  </r>
  <r>
    <d v="2025-05-15T00:00:00"/>
    <x v="1"/>
    <x v="5"/>
    <n v="183379"/>
    <n v="80541"/>
    <n v="435"/>
    <x v="134"/>
    <s v="Food"/>
    <s v="Retail"/>
    <x v="2"/>
    <x v="1"/>
    <x v="103"/>
    <n v="90.1"/>
    <n v="100227"/>
    <n v="2025"/>
    <x v="4"/>
    <x v="134"/>
  </r>
  <r>
    <d v="2025-05-16T00:00:00"/>
    <x v="2"/>
    <x v="5"/>
    <n v="143612"/>
    <n v="46267"/>
    <n v="631"/>
    <x v="135"/>
    <s v="Healthcare"/>
    <s v="Distributor"/>
    <x v="3"/>
    <x v="2"/>
    <x v="104"/>
    <n v="86.4"/>
    <n v="99103"/>
    <n v="2025"/>
    <x v="4"/>
    <x v="135"/>
  </r>
  <r>
    <d v="2025-05-17T00:00:00"/>
    <x v="2"/>
    <x v="2"/>
    <n v="204328"/>
    <n v="131007"/>
    <n v="1255"/>
    <x v="136"/>
    <s v="Apparel"/>
    <s v="Retail"/>
    <x v="0"/>
    <x v="5"/>
    <x v="105"/>
    <n v="83.5"/>
    <n v="72977"/>
    <n v="2025"/>
    <x v="4"/>
    <x v="136"/>
  </r>
  <r>
    <d v="2025-05-18T00:00:00"/>
    <x v="0"/>
    <x v="5"/>
    <n v="66573"/>
    <n v="33716"/>
    <n v="375"/>
    <x v="137"/>
    <s v="Healthcare"/>
    <s v="Online"/>
    <x v="2"/>
    <x v="6"/>
    <x v="106"/>
    <n v="88.6"/>
    <n v="35829"/>
    <n v="2025"/>
    <x v="4"/>
    <x v="137"/>
  </r>
  <r>
    <d v="2025-05-19T00:00:00"/>
    <x v="2"/>
    <x v="0"/>
    <n v="284175"/>
    <n v="110579"/>
    <n v="522"/>
    <x v="138"/>
    <s v="Healthcare"/>
    <s v="Distributor"/>
    <x v="1"/>
    <x v="1"/>
    <x v="107"/>
    <n v="90.1"/>
    <n v="185451"/>
    <n v="2025"/>
    <x v="4"/>
    <x v="138"/>
  </r>
  <r>
    <d v="2025-05-20T00:00:00"/>
    <x v="3"/>
    <x v="2"/>
    <n v="51509"/>
    <n v="40673"/>
    <n v="1450"/>
    <x v="139"/>
    <s v="Electronics"/>
    <s v="Online"/>
    <x v="2"/>
    <x v="4"/>
    <x v="108"/>
    <n v="88.9"/>
    <n v="10005"/>
    <n v="2025"/>
    <x v="4"/>
    <x v="139"/>
  </r>
  <r>
    <d v="2025-05-21T00:00:00"/>
    <x v="3"/>
    <x v="4"/>
    <n v="241688"/>
    <n v="135777"/>
    <n v="1206"/>
    <x v="140"/>
    <s v="Food"/>
    <s v="Retail"/>
    <x v="1"/>
    <x v="3"/>
    <x v="109"/>
    <n v="98.5"/>
    <n v="106572"/>
    <n v="2025"/>
    <x v="4"/>
    <x v="140"/>
  </r>
  <r>
    <d v="2025-05-22T00:00:00"/>
    <x v="2"/>
    <x v="2"/>
    <n v="226647"/>
    <n v="134442"/>
    <n v="657"/>
    <x v="141"/>
    <s v="Furniture"/>
    <s v="Retail"/>
    <x v="1"/>
    <x v="1"/>
    <x v="110"/>
    <n v="75.400000000000006"/>
    <n v="101208"/>
    <n v="2025"/>
    <x v="4"/>
    <x v="141"/>
  </r>
  <r>
    <d v="2025-05-23T00:00:00"/>
    <x v="2"/>
    <x v="5"/>
    <n v="101497"/>
    <n v="33496"/>
    <n v="961"/>
    <x v="142"/>
    <s v="Healthcare"/>
    <s v="Distributor"/>
    <x v="2"/>
    <x v="6"/>
    <x v="111"/>
    <n v="93.2"/>
    <n v="71040"/>
    <n v="2025"/>
    <x v="4"/>
    <x v="142"/>
  </r>
  <r>
    <d v="2025-05-24T00:00:00"/>
    <x v="1"/>
    <x v="1"/>
    <n v="296999"/>
    <n v="216591"/>
    <n v="1401"/>
    <x v="143"/>
    <s v="Healthcare"/>
    <s v="Distributor"/>
    <x v="0"/>
    <x v="6"/>
    <x v="90"/>
    <n v="80.599999999999994"/>
    <n v="74048"/>
    <n v="2025"/>
    <x v="4"/>
    <x v="143"/>
  </r>
  <r>
    <d v="2025-05-25T00:00:00"/>
    <x v="2"/>
    <x v="2"/>
    <n v="183584"/>
    <n v="105262"/>
    <n v="681"/>
    <x v="144"/>
    <s v="Healthcare"/>
    <s v="Distributor"/>
    <x v="1"/>
    <x v="4"/>
    <x v="112"/>
    <n v="96.6"/>
    <n v="72193"/>
    <n v="2025"/>
    <x v="4"/>
    <x v="144"/>
  </r>
  <r>
    <d v="2025-05-26T00:00:00"/>
    <x v="0"/>
    <x v="0"/>
    <n v="103411"/>
    <n v="49235"/>
    <n v="439"/>
    <x v="145"/>
    <s v="Apparel"/>
    <s v="Distributor"/>
    <x v="1"/>
    <x v="6"/>
    <x v="113"/>
    <n v="81.2"/>
    <n v="51344"/>
    <n v="2025"/>
    <x v="4"/>
    <x v="145"/>
  </r>
  <r>
    <d v="2025-05-27T00:00:00"/>
    <x v="1"/>
    <x v="1"/>
    <n v="127997"/>
    <n v="81072"/>
    <n v="840"/>
    <x v="146"/>
    <s v="Food"/>
    <s v="Retail"/>
    <x v="4"/>
    <x v="2"/>
    <x v="114"/>
    <n v="92.5"/>
    <n v="43443"/>
    <n v="2025"/>
    <x v="4"/>
    <x v="146"/>
  </r>
  <r>
    <d v="2025-05-28T00:00:00"/>
    <x v="2"/>
    <x v="0"/>
    <n v="198642"/>
    <n v="137856"/>
    <n v="229"/>
    <x v="147"/>
    <s v="Electronics"/>
    <s v="Retail"/>
    <x v="1"/>
    <x v="2"/>
    <x v="115"/>
    <n v="96.8"/>
    <n v="59625"/>
    <n v="2025"/>
    <x v="4"/>
    <x v="147"/>
  </r>
  <r>
    <d v="2025-05-29T00:00:00"/>
    <x v="2"/>
    <x v="0"/>
    <n v="63520"/>
    <n v="39588"/>
    <n v="678"/>
    <x v="148"/>
    <s v="Food"/>
    <s v="Distributor"/>
    <x v="3"/>
    <x v="1"/>
    <x v="116"/>
    <n v="76.3"/>
    <n v="23772"/>
    <n v="2025"/>
    <x v="4"/>
    <x v="148"/>
  </r>
  <r>
    <d v="2025-05-30T00:00:00"/>
    <x v="1"/>
    <x v="2"/>
    <n v="146589"/>
    <n v="99368"/>
    <n v="452"/>
    <x v="149"/>
    <s v="Electronics"/>
    <s v="Online"/>
    <x v="1"/>
    <x v="7"/>
    <x v="117"/>
    <n v="91.4"/>
    <n v="44967"/>
    <n v="2025"/>
    <x v="4"/>
    <x v="149"/>
  </r>
  <r>
    <d v="2025-05-31T00:00:00"/>
    <x v="2"/>
    <x v="0"/>
    <n v="280325"/>
    <n v="86300"/>
    <n v="1429"/>
    <x v="150"/>
    <s v="Furniture"/>
    <s v="Retail"/>
    <x v="0"/>
    <x v="6"/>
    <x v="92"/>
    <n v="78.8"/>
    <n v="210393"/>
    <n v="2025"/>
    <x v="4"/>
    <x v="150"/>
  </r>
  <r>
    <d v="2025-06-01T00:00:00"/>
    <x v="0"/>
    <x v="3"/>
    <n v="146957"/>
    <n v="66806"/>
    <n v="943"/>
    <x v="151"/>
    <s v="Furniture"/>
    <s v="Retail"/>
    <x v="2"/>
    <x v="2"/>
    <x v="118"/>
    <n v="93.7"/>
    <n v="75088"/>
    <n v="2025"/>
    <x v="5"/>
    <x v="151"/>
  </r>
  <r>
    <d v="2025-06-02T00:00:00"/>
    <x v="3"/>
    <x v="2"/>
    <n v="243297"/>
    <n v="84386"/>
    <n v="1262"/>
    <x v="152"/>
    <s v="Apparel"/>
    <s v="Distributor"/>
    <x v="2"/>
    <x v="6"/>
    <x v="119"/>
    <n v="79.599999999999994"/>
    <n v="152218"/>
    <n v="2025"/>
    <x v="5"/>
    <x v="152"/>
  </r>
  <r>
    <d v="2025-06-03T00:00:00"/>
    <x v="3"/>
    <x v="5"/>
    <n v="130992"/>
    <n v="31304"/>
    <n v="919"/>
    <x v="153"/>
    <s v="Furniture"/>
    <s v="Retail"/>
    <x v="3"/>
    <x v="6"/>
    <x v="55"/>
    <n v="86.2"/>
    <n v="104045"/>
    <n v="2025"/>
    <x v="5"/>
    <x v="153"/>
  </r>
  <r>
    <d v="2025-06-04T00:00:00"/>
    <x v="1"/>
    <x v="3"/>
    <n v="187291"/>
    <n v="99203"/>
    <n v="961"/>
    <x v="154"/>
    <s v="Apparel"/>
    <s v="Online"/>
    <x v="2"/>
    <x v="0"/>
    <x v="120"/>
    <n v="96.1"/>
    <n v="79387"/>
    <n v="2025"/>
    <x v="5"/>
    <x v="154"/>
  </r>
  <r>
    <d v="2025-06-05T00:00:00"/>
    <x v="0"/>
    <x v="3"/>
    <n v="89196"/>
    <n v="67455"/>
    <n v="1407"/>
    <x v="155"/>
    <s v="Healthcare"/>
    <s v="Distributor"/>
    <x v="2"/>
    <x v="5"/>
    <x v="114"/>
    <n v="98"/>
    <n v="21363"/>
    <n v="2025"/>
    <x v="5"/>
    <x v="155"/>
  </r>
  <r>
    <d v="2025-06-06T00:00:00"/>
    <x v="3"/>
    <x v="2"/>
    <n v="58105"/>
    <n v="40573"/>
    <n v="549"/>
    <x v="156"/>
    <s v="Food"/>
    <s v="Retail"/>
    <x v="0"/>
    <x v="9"/>
    <x v="121"/>
    <n v="83"/>
    <n v="16495"/>
    <n v="2025"/>
    <x v="5"/>
    <x v="156"/>
  </r>
  <r>
    <d v="2025-06-07T00:00:00"/>
    <x v="3"/>
    <x v="0"/>
    <n v="123705"/>
    <n v="55671"/>
    <n v="720"/>
    <x v="157"/>
    <s v="Apparel"/>
    <s v="Retail"/>
    <x v="2"/>
    <x v="6"/>
    <x v="122"/>
    <n v="96.9"/>
    <n v="71003"/>
    <n v="2025"/>
    <x v="5"/>
    <x v="157"/>
  </r>
  <r>
    <d v="2025-06-08T00:00:00"/>
    <x v="1"/>
    <x v="5"/>
    <n v="124084"/>
    <n v="77331"/>
    <n v="1166"/>
    <x v="158"/>
    <s v="Electronics"/>
    <s v="Distributor"/>
    <x v="4"/>
    <x v="1"/>
    <x v="20"/>
    <n v="82.3"/>
    <n v="45423"/>
    <n v="2025"/>
    <x v="5"/>
    <x v="158"/>
  </r>
  <r>
    <d v="2025-06-09T00:00:00"/>
    <x v="2"/>
    <x v="5"/>
    <n v="183673"/>
    <n v="68018"/>
    <n v="698"/>
    <x v="159"/>
    <s v="Healthcare"/>
    <s v="Retail"/>
    <x v="4"/>
    <x v="2"/>
    <x v="123"/>
    <n v="80.900000000000006"/>
    <n v="120245"/>
    <n v="2025"/>
    <x v="5"/>
    <x v="159"/>
  </r>
  <r>
    <d v="2025-06-10T00:00:00"/>
    <x v="1"/>
    <x v="0"/>
    <n v="54030"/>
    <n v="31656"/>
    <n v="568"/>
    <x v="160"/>
    <s v="Healthcare"/>
    <s v="Distributor"/>
    <x v="2"/>
    <x v="0"/>
    <x v="124"/>
    <n v="83.9"/>
    <n v="22047"/>
    <n v="2025"/>
    <x v="5"/>
    <x v="160"/>
  </r>
  <r>
    <d v="2025-06-11T00:00:00"/>
    <x v="2"/>
    <x v="2"/>
    <n v="288225"/>
    <n v="153883"/>
    <n v="1083"/>
    <x v="161"/>
    <s v="Food"/>
    <s v="Distributor"/>
    <x v="2"/>
    <x v="3"/>
    <x v="125"/>
    <n v="95.9"/>
    <n v="142846"/>
    <n v="2025"/>
    <x v="5"/>
    <x v="161"/>
  </r>
  <r>
    <d v="2025-06-12T00:00:00"/>
    <x v="3"/>
    <x v="0"/>
    <n v="237629"/>
    <n v="50852"/>
    <n v="1020"/>
    <x v="162"/>
    <s v="Furniture"/>
    <s v="Retail"/>
    <x v="4"/>
    <x v="1"/>
    <x v="126"/>
    <n v="97.2"/>
    <n v="174798"/>
    <n v="2025"/>
    <x v="5"/>
    <x v="162"/>
  </r>
  <r>
    <d v="2025-06-13T00:00:00"/>
    <x v="3"/>
    <x v="4"/>
    <n v="292878"/>
    <n v="112759"/>
    <n v="958"/>
    <x v="163"/>
    <s v="Electronics"/>
    <s v="Distributor"/>
    <x v="0"/>
    <x v="7"/>
    <x v="20"/>
    <n v="87.9"/>
    <n v="162350"/>
    <n v="2025"/>
    <x v="5"/>
    <x v="163"/>
  </r>
  <r>
    <d v="2025-06-14T00:00:00"/>
    <x v="3"/>
    <x v="3"/>
    <n v="287617"/>
    <n v="200409"/>
    <n v="1084"/>
    <x v="164"/>
    <s v="Apparel"/>
    <s v="Online"/>
    <x v="0"/>
    <x v="4"/>
    <x v="127"/>
    <n v="92.1"/>
    <n v="93768"/>
    <n v="2025"/>
    <x v="5"/>
    <x v="164"/>
  </r>
  <r>
    <d v="2025-06-15T00:00:00"/>
    <x v="2"/>
    <x v="3"/>
    <n v="174971"/>
    <n v="137400"/>
    <n v="740"/>
    <x v="165"/>
    <s v="Electronics"/>
    <s v="Retail"/>
    <x v="3"/>
    <x v="9"/>
    <x v="128"/>
    <n v="86.4"/>
    <n v="36757"/>
    <n v="2025"/>
    <x v="5"/>
    <x v="165"/>
  </r>
  <r>
    <d v="2025-06-16T00:00:00"/>
    <x v="1"/>
    <x v="0"/>
    <n v="118935"/>
    <n v="36988"/>
    <n v="1223"/>
    <x v="166"/>
    <s v="Apparel"/>
    <s v="Retail"/>
    <x v="3"/>
    <x v="6"/>
    <x v="129"/>
    <n v="95"/>
    <n v="85237"/>
    <n v="2025"/>
    <x v="5"/>
    <x v="166"/>
  </r>
  <r>
    <d v="2025-06-17T00:00:00"/>
    <x v="0"/>
    <x v="0"/>
    <n v="88680"/>
    <n v="70163"/>
    <n v="970"/>
    <x v="167"/>
    <s v="Food"/>
    <s v="Retail"/>
    <x v="4"/>
    <x v="6"/>
    <x v="130"/>
    <n v="80"/>
    <n v="19596"/>
    <n v="2025"/>
    <x v="5"/>
    <x v="167"/>
  </r>
  <r>
    <d v="2025-06-18T00:00:00"/>
    <x v="3"/>
    <x v="1"/>
    <n v="224023"/>
    <n v="145634"/>
    <n v="222"/>
    <x v="168"/>
    <s v="Furniture"/>
    <s v="Online"/>
    <x v="0"/>
    <x v="4"/>
    <x v="131"/>
    <n v="79.2"/>
    <n v="84877"/>
    <n v="2025"/>
    <x v="5"/>
    <x v="168"/>
  </r>
  <r>
    <d v="2025-06-19T00:00:00"/>
    <x v="3"/>
    <x v="4"/>
    <n v="256838"/>
    <n v="51551"/>
    <n v="323"/>
    <x v="169"/>
    <s v="Furniture"/>
    <s v="Retail"/>
    <x v="1"/>
    <x v="6"/>
    <x v="84"/>
    <n v="90"/>
    <n v="193632"/>
    <n v="2025"/>
    <x v="5"/>
    <x v="169"/>
  </r>
  <r>
    <d v="2025-06-20T00:00:00"/>
    <x v="3"/>
    <x v="0"/>
    <n v="102956"/>
    <n v="32080"/>
    <n v="980"/>
    <x v="170"/>
    <s v="Apparel"/>
    <s v="Online"/>
    <x v="3"/>
    <x v="7"/>
    <x v="132"/>
    <n v="93.1"/>
    <n v="70820"/>
    <n v="2025"/>
    <x v="5"/>
    <x v="170"/>
  </r>
  <r>
    <d v="2025-06-21T00:00:00"/>
    <x v="3"/>
    <x v="3"/>
    <n v="279097"/>
    <n v="59203"/>
    <n v="1155"/>
    <x v="171"/>
    <s v="Electronics"/>
    <s v="Distributor"/>
    <x v="0"/>
    <x v="3"/>
    <x v="8"/>
    <n v="87.5"/>
    <n v="202358"/>
    <n v="2025"/>
    <x v="5"/>
    <x v="171"/>
  </r>
  <r>
    <d v="2025-06-22T00:00:00"/>
    <x v="0"/>
    <x v="1"/>
    <n v="173730"/>
    <n v="85852"/>
    <n v="287"/>
    <x v="172"/>
    <s v="Electronics"/>
    <s v="Online"/>
    <x v="0"/>
    <x v="6"/>
    <x v="133"/>
    <n v="91.6"/>
    <n v="86738"/>
    <n v="2025"/>
    <x v="5"/>
    <x v="172"/>
  </r>
  <r>
    <d v="2025-06-23T00:00:00"/>
    <x v="3"/>
    <x v="0"/>
    <n v="87269"/>
    <n v="61723"/>
    <n v="966"/>
    <x v="173"/>
    <s v="Furniture"/>
    <s v="Distributor"/>
    <x v="2"/>
    <x v="6"/>
    <x v="134"/>
    <n v="83.4"/>
    <n v="26090"/>
    <n v="2025"/>
    <x v="5"/>
    <x v="173"/>
  </r>
  <r>
    <d v="2025-06-24T00:00:00"/>
    <x v="0"/>
    <x v="0"/>
    <n v="289548"/>
    <n v="33685"/>
    <n v="834"/>
    <x v="174"/>
    <s v="Apparel"/>
    <s v="Distributor"/>
    <x v="1"/>
    <x v="2"/>
    <x v="135"/>
    <n v="76.900000000000006"/>
    <n v="236490"/>
    <n v="2025"/>
    <x v="5"/>
    <x v="174"/>
  </r>
  <r>
    <d v="2025-06-25T00:00:00"/>
    <x v="2"/>
    <x v="1"/>
    <n v="136978"/>
    <n v="63599"/>
    <n v="235"/>
    <x v="175"/>
    <s v="Furniture"/>
    <s v="Online"/>
    <x v="1"/>
    <x v="5"/>
    <x v="104"/>
    <n v="78.900000000000006"/>
    <n v="74215"/>
    <n v="2025"/>
    <x v="5"/>
    <x v="175"/>
  </r>
  <r>
    <d v="2025-06-26T00:00:00"/>
    <x v="0"/>
    <x v="5"/>
    <n v="96322"/>
    <n v="40783"/>
    <n v="645"/>
    <x v="176"/>
    <s v="Electronics"/>
    <s v="Retail"/>
    <x v="4"/>
    <x v="6"/>
    <x v="136"/>
    <n v="83.7"/>
    <n v="60695"/>
    <n v="2025"/>
    <x v="5"/>
    <x v="176"/>
  </r>
  <r>
    <d v="2025-06-27T00:00:00"/>
    <x v="2"/>
    <x v="5"/>
    <n v="56066"/>
    <n v="38120"/>
    <n v="393"/>
    <x v="177"/>
    <s v="Apparel"/>
    <s v="Online"/>
    <x v="2"/>
    <x v="4"/>
    <x v="137"/>
    <n v="92.8"/>
    <n v="17535"/>
    <n v="2025"/>
    <x v="5"/>
    <x v="177"/>
  </r>
  <r>
    <d v="2025-06-28T00:00:00"/>
    <x v="0"/>
    <x v="4"/>
    <n v="275529"/>
    <n v="70289"/>
    <n v="220"/>
    <x v="178"/>
    <s v="Apparel"/>
    <s v="Online"/>
    <x v="3"/>
    <x v="9"/>
    <x v="118"/>
    <n v="94.2"/>
    <n v="189305"/>
    <n v="2025"/>
    <x v="5"/>
    <x v="178"/>
  </r>
  <r>
    <d v="2025-06-29T00:00:00"/>
    <x v="3"/>
    <x v="3"/>
    <n v="207774"/>
    <n v="77524"/>
    <n v="1178"/>
    <x v="179"/>
    <s v="Electronics"/>
    <s v="Distributor"/>
    <x v="4"/>
    <x v="6"/>
    <x v="138"/>
    <n v="89.8"/>
    <n v="129338"/>
    <n v="2025"/>
    <x v="5"/>
    <x v="179"/>
  </r>
  <r>
    <d v="2025-06-30T00:00:00"/>
    <x v="0"/>
    <x v="1"/>
    <n v="111758"/>
    <n v="66681"/>
    <n v="605"/>
    <x v="180"/>
    <s v="Electronics"/>
    <s v="Distributor"/>
    <x v="1"/>
    <x v="6"/>
    <x v="92"/>
    <n v="90.9"/>
    <n v="44412"/>
    <n v="2025"/>
    <x v="5"/>
    <x v="180"/>
  </r>
  <r>
    <d v="2025-07-01T00:00:00"/>
    <x v="1"/>
    <x v="4"/>
    <n v="80138"/>
    <n v="48196"/>
    <n v="469"/>
    <x v="181"/>
    <s v="Furniture"/>
    <s v="Distributor"/>
    <x v="1"/>
    <x v="9"/>
    <x v="139"/>
    <n v="83.2"/>
    <n v="31111"/>
    <n v="2025"/>
    <x v="6"/>
    <x v="181"/>
  </r>
  <r>
    <d v="2025-07-02T00:00:00"/>
    <x v="1"/>
    <x v="3"/>
    <n v="71926"/>
    <n v="30305"/>
    <n v="1280"/>
    <x v="182"/>
    <s v="Apparel"/>
    <s v="Distributor"/>
    <x v="0"/>
    <x v="3"/>
    <x v="134"/>
    <n v="79.2"/>
    <n v="40240"/>
    <n v="2025"/>
    <x v="6"/>
    <x v="182"/>
  </r>
  <r>
    <d v="2025-07-03T00:00:00"/>
    <x v="3"/>
    <x v="0"/>
    <n v="183016"/>
    <n v="99958"/>
    <n v="944"/>
    <x v="183"/>
    <s v="Apparel"/>
    <s v="Online"/>
    <x v="0"/>
    <x v="6"/>
    <x v="11"/>
    <n v="98.4"/>
    <n v="85445"/>
    <n v="2025"/>
    <x v="6"/>
    <x v="183"/>
  </r>
  <r>
    <d v="2025-07-04T00:00:00"/>
    <x v="2"/>
    <x v="3"/>
    <n v="225879"/>
    <n v="40537"/>
    <n v="403"/>
    <x v="184"/>
    <s v="Apparel"/>
    <s v="Online"/>
    <x v="1"/>
    <x v="6"/>
    <x v="1"/>
    <n v="85.4"/>
    <n v="194752"/>
    <n v="2025"/>
    <x v="6"/>
    <x v="184"/>
  </r>
  <r>
    <d v="2025-07-05T00:00:00"/>
    <x v="1"/>
    <x v="1"/>
    <n v="154324"/>
    <n v="33294"/>
    <n v="1140"/>
    <x v="185"/>
    <s v="Food"/>
    <s v="Distributor"/>
    <x v="4"/>
    <x v="9"/>
    <x v="140"/>
    <n v="93.7"/>
    <n v="118666"/>
    <n v="2025"/>
    <x v="6"/>
    <x v="185"/>
  </r>
  <r>
    <d v="2025-07-06T00:00:00"/>
    <x v="2"/>
    <x v="2"/>
    <n v="65168"/>
    <n v="44000"/>
    <n v="1435"/>
    <x v="186"/>
    <s v="Electronics"/>
    <s v="Distributor"/>
    <x v="3"/>
    <x v="1"/>
    <x v="30"/>
    <n v="91.7"/>
    <n v="21889"/>
    <n v="2025"/>
    <x v="6"/>
    <x v="186"/>
  </r>
  <r>
    <d v="2025-07-07T00:00:00"/>
    <x v="1"/>
    <x v="2"/>
    <n v="226938"/>
    <n v="50899"/>
    <n v="1157"/>
    <x v="187"/>
    <s v="Food"/>
    <s v="Online"/>
    <x v="2"/>
    <x v="6"/>
    <x v="23"/>
    <n v="95.5"/>
    <n v="170879"/>
    <n v="2025"/>
    <x v="6"/>
    <x v="187"/>
  </r>
  <r>
    <d v="2025-07-08T00:00:00"/>
    <x v="1"/>
    <x v="5"/>
    <n v="195721"/>
    <n v="62942"/>
    <n v="1109"/>
    <x v="188"/>
    <s v="Furniture"/>
    <s v="Online"/>
    <x v="3"/>
    <x v="7"/>
    <x v="2"/>
    <n v="94.7"/>
    <n v="126170"/>
    <n v="2025"/>
    <x v="6"/>
    <x v="188"/>
  </r>
  <r>
    <d v="2025-07-09T00:00:00"/>
    <x v="2"/>
    <x v="5"/>
    <n v="108665"/>
    <n v="82440"/>
    <n v="1488"/>
    <x v="189"/>
    <s v="Apparel"/>
    <s v="Distributor"/>
    <x v="4"/>
    <x v="0"/>
    <x v="73"/>
    <n v="94.1"/>
    <n v="28820"/>
    <n v="2025"/>
    <x v="6"/>
    <x v="189"/>
  </r>
  <r>
    <d v="2025-07-10T00:00:00"/>
    <x v="0"/>
    <x v="2"/>
    <n v="142327"/>
    <n v="46749"/>
    <n v="952"/>
    <x v="190"/>
    <s v="Food"/>
    <s v="Retail"/>
    <x v="0"/>
    <x v="6"/>
    <x v="141"/>
    <n v="97.4"/>
    <n v="97580"/>
    <n v="2025"/>
    <x v="6"/>
    <x v="190"/>
  </r>
  <r>
    <d v="2025-07-11T00:00:00"/>
    <x v="3"/>
    <x v="5"/>
    <n v="291844"/>
    <n v="180204"/>
    <n v="1311"/>
    <x v="191"/>
    <s v="Apparel"/>
    <s v="Distributor"/>
    <x v="2"/>
    <x v="5"/>
    <x v="115"/>
    <n v="83.8"/>
    <n v="117411"/>
    <n v="2025"/>
    <x v="6"/>
    <x v="191"/>
  </r>
  <r>
    <d v="2025-07-12T00:00:00"/>
    <x v="2"/>
    <x v="0"/>
    <n v="224189"/>
    <n v="176002"/>
    <n v="1075"/>
    <x v="192"/>
    <s v="Food"/>
    <s v="Retail"/>
    <x v="3"/>
    <x v="7"/>
    <x v="142"/>
    <n v="92.3"/>
    <n v="48103"/>
    <n v="2025"/>
    <x v="6"/>
    <x v="192"/>
  </r>
  <r>
    <d v="2025-07-13T00:00:00"/>
    <x v="1"/>
    <x v="1"/>
    <n v="289996"/>
    <n v="154851"/>
    <n v="916"/>
    <x v="193"/>
    <s v="Apparel"/>
    <s v="Distributor"/>
    <x v="4"/>
    <x v="7"/>
    <x v="143"/>
    <n v="94.5"/>
    <n v="129917"/>
    <n v="2025"/>
    <x v="6"/>
    <x v="193"/>
  </r>
  <r>
    <d v="2025-07-14T00:00:00"/>
    <x v="3"/>
    <x v="5"/>
    <n v="219437"/>
    <n v="164698"/>
    <n v="1282"/>
    <x v="194"/>
    <s v="Food"/>
    <s v="Distributor"/>
    <x v="3"/>
    <x v="2"/>
    <x v="144"/>
    <n v="89"/>
    <n v="50629"/>
    <n v="2025"/>
    <x v="6"/>
    <x v="194"/>
  </r>
  <r>
    <d v="2025-07-15T00:00:00"/>
    <x v="3"/>
    <x v="0"/>
    <n v="248331"/>
    <n v="183387"/>
    <n v="1076"/>
    <x v="195"/>
    <s v="Furniture"/>
    <s v="Online"/>
    <x v="1"/>
    <x v="2"/>
    <x v="145"/>
    <n v="84.7"/>
    <n v="58785"/>
    <n v="2025"/>
    <x v="6"/>
    <x v="195"/>
  </r>
  <r>
    <d v="2025-07-16T00:00:00"/>
    <x v="2"/>
    <x v="1"/>
    <n v="55795"/>
    <n v="40035"/>
    <n v="1423"/>
    <x v="196"/>
    <s v="Food"/>
    <s v="Retail"/>
    <x v="0"/>
    <x v="3"/>
    <x v="19"/>
    <n v="75.5"/>
    <n v="16933"/>
    <n v="2025"/>
    <x v="6"/>
    <x v="196"/>
  </r>
  <r>
    <d v="2025-07-17T00:00:00"/>
    <x v="2"/>
    <x v="1"/>
    <n v="187680"/>
    <n v="62667"/>
    <n v="419"/>
    <x v="197"/>
    <s v="Food"/>
    <s v="Retail"/>
    <x v="3"/>
    <x v="7"/>
    <x v="46"/>
    <n v="81.7"/>
    <n v="127748"/>
    <n v="2025"/>
    <x v="6"/>
    <x v="197"/>
  </r>
  <r>
    <d v="2025-07-18T00:00:00"/>
    <x v="3"/>
    <x v="3"/>
    <n v="237902"/>
    <n v="154393"/>
    <n v="1388"/>
    <x v="198"/>
    <s v="Food"/>
    <s v="Distributor"/>
    <x v="2"/>
    <x v="1"/>
    <x v="146"/>
    <n v="78.3"/>
    <n v="81420"/>
    <n v="2025"/>
    <x v="6"/>
    <x v="198"/>
  </r>
  <r>
    <d v="2025-07-19T00:00:00"/>
    <x v="1"/>
    <x v="2"/>
    <n v="247408"/>
    <n v="47143"/>
    <n v="565"/>
    <x v="199"/>
    <s v="Apparel"/>
    <s v="Online"/>
    <x v="3"/>
    <x v="1"/>
    <x v="147"/>
    <n v="76.099999999999994"/>
    <n v="213715"/>
    <n v="2025"/>
    <x v="6"/>
    <x v="199"/>
  </r>
  <r>
    <d v="2025-07-20T00:00:00"/>
    <x v="1"/>
    <x v="2"/>
    <n v="53570"/>
    <n v="32194"/>
    <n v="742"/>
    <x v="200"/>
    <s v="Furniture"/>
    <s v="Distributor"/>
    <x v="1"/>
    <x v="7"/>
    <x v="148"/>
    <n v="98.5"/>
    <n v="22343"/>
    <n v="2025"/>
    <x v="6"/>
    <x v="200"/>
  </r>
  <r>
    <d v="2025-07-21T00:00:00"/>
    <x v="3"/>
    <x v="0"/>
    <n v="64744"/>
    <n v="40300"/>
    <n v="282"/>
    <x v="201"/>
    <s v="Apparel"/>
    <s v="Retail"/>
    <x v="4"/>
    <x v="9"/>
    <x v="149"/>
    <n v="78.900000000000006"/>
    <n v="24870"/>
    <n v="2025"/>
    <x v="6"/>
    <x v="201"/>
  </r>
  <r>
    <d v="2025-07-22T00:00:00"/>
    <x v="1"/>
    <x v="1"/>
    <n v="241679"/>
    <n v="181529"/>
    <n v="1423"/>
    <x v="202"/>
    <s v="Healthcare"/>
    <s v="Retail"/>
    <x v="2"/>
    <x v="6"/>
    <x v="4"/>
    <n v="80.3"/>
    <n v="60363"/>
    <n v="2025"/>
    <x v="6"/>
    <x v="202"/>
  </r>
  <r>
    <d v="2025-07-23T00:00:00"/>
    <x v="3"/>
    <x v="5"/>
    <n v="69787"/>
    <n v="52661"/>
    <n v="1167"/>
    <x v="203"/>
    <s v="Apparel"/>
    <s v="Distributor"/>
    <x v="0"/>
    <x v="6"/>
    <x v="23"/>
    <n v="87.3"/>
    <n v="16629"/>
    <n v="2025"/>
    <x v="6"/>
    <x v="203"/>
  </r>
  <r>
    <d v="2025-07-24T00:00:00"/>
    <x v="2"/>
    <x v="2"/>
    <n v="122937"/>
    <n v="96952"/>
    <n v="1053"/>
    <x v="204"/>
    <s v="Food"/>
    <s v="Distributor"/>
    <x v="2"/>
    <x v="3"/>
    <x v="150"/>
    <n v="79.400000000000006"/>
    <n v="28359"/>
    <n v="2025"/>
    <x v="6"/>
    <x v="204"/>
  </r>
  <r>
    <d v="2025-07-25T00:00:00"/>
    <x v="2"/>
    <x v="4"/>
    <n v="269836"/>
    <n v="196210"/>
    <n v="1101"/>
    <x v="205"/>
    <s v="Apparel"/>
    <s v="Online"/>
    <x v="2"/>
    <x v="5"/>
    <x v="151"/>
    <n v="95.6"/>
    <n v="73326"/>
    <n v="2025"/>
    <x v="6"/>
    <x v="205"/>
  </r>
  <r>
    <d v="2025-07-26T00:00:00"/>
    <x v="2"/>
    <x v="3"/>
    <n v="117561"/>
    <n v="33330"/>
    <n v="1190"/>
    <x v="206"/>
    <s v="Apparel"/>
    <s v="Online"/>
    <x v="0"/>
    <x v="6"/>
    <x v="152"/>
    <n v="75.599999999999994"/>
    <n v="91787"/>
    <n v="2025"/>
    <x v="6"/>
    <x v="206"/>
  </r>
  <r>
    <d v="2025-07-27T00:00:00"/>
    <x v="0"/>
    <x v="1"/>
    <n v="196393"/>
    <n v="156587"/>
    <n v="1351"/>
    <x v="207"/>
    <s v="Food"/>
    <s v="Online"/>
    <x v="3"/>
    <x v="4"/>
    <x v="106"/>
    <n v="85.7"/>
    <n v="37463"/>
    <n v="2025"/>
    <x v="6"/>
    <x v="207"/>
  </r>
  <r>
    <d v="2025-07-28T00:00:00"/>
    <x v="1"/>
    <x v="0"/>
    <n v="60203"/>
    <n v="47152"/>
    <n v="301"/>
    <x v="208"/>
    <s v="Food"/>
    <s v="Distributor"/>
    <x v="4"/>
    <x v="7"/>
    <x v="13"/>
    <n v="97.3"/>
    <n v="13922"/>
    <n v="2025"/>
    <x v="6"/>
    <x v="208"/>
  </r>
  <r>
    <d v="2025-07-29T00:00:00"/>
    <x v="3"/>
    <x v="0"/>
    <n v="293093"/>
    <n v="231441"/>
    <n v="706"/>
    <x v="209"/>
    <s v="Healthcare"/>
    <s v="Distributor"/>
    <x v="0"/>
    <x v="3"/>
    <x v="14"/>
    <n v="88.8"/>
    <n v="56609"/>
    <n v="2025"/>
    <x v="6"/>
    <x v="209"/>
  </r>
  <r>
    <d v="2025-07-30T00:00:00"/>
    <x v="3"/>
    <x v="1"/>
    <n v="54480"/>
    <n v="40988"/>
    <n v="1009"/>
    <x v="210"/>
    <s v="Apparel"/>
    <s v="Online"/>
    <x v="4"/>
    <x v="6"/>
    <x v="97"/>
    <n v="93.3"/>
    <n v="13941"/>
    <n v="2025"/>
    <x v="6"/>
    <x v="210"/>
  </r>
  <r>
    <d v="2025-07-31T00:00:00"/>
    <x v="3"/>
    <x v="5"/>
    <n v="159355"/>
    <n v="81706"/>
    <n v="1136"/>
    <x v="211"/>
    <s v="Apparel"/>
    <s v="Retail"/>
    <x v="1"/>
    <x v="6"/>
    <x v="64"/>
    <n v="95.5"/>
    <n v="76929"/>
    <n v="2025"/>
    <x v="6"/>
    <x v="211"/>
  </r>
  <r>
    <d v="2025-08-01T00:00:00"/>
    <x v="2"/>
    <x v="1"/>
    <n v="246738"/>
    <n v="61687"/>
    <n v="1430"/>
    <x v="212"/>
    <s v="Electronics"/>
    <s v="Distributor"/>
    <x v="1"/>
    <x v="7"/>
    <x v="153"/>
    <n v="91.5"/>
    <n v="168140"/>
    <n v="2025"/>
    <x v="7"/>
    <x v="212"/>
  </r>
  <r>
    <d v="2025-08-02T00:00:00"/>
    <x v="0"/>
    <x v="5"/>
    <n v="190686"/>
    <n v="53552"/>
    <n v="241"/>
    <x v="213"/>
    <s v="Electronics"/>
    <s v="Retail"/>
    <x v="3"/>
    <x v="1"/>
    <x v="154"/>
    <n v="93.9"/>
    <n v="138364"/>
    <n v="2025"/>
    <x v="7"/>
    <x v="213"/>
  </r>
  <r>
    <d v="2025-08-03T00:00:00"/>
    <x v="0"/>
    <x v="2"/>
    <n v="256867"/>
    <n v="57594"/>
    <n v="1213"/>
    <x v="214"/>
    <s v="Apparel"/>
    <s v="Distributor"/>
    <x v="2"/>
    <x v="7"/>
    <x v="71"/>
    <n v="90.7"/>
    <n v="212887"/>
    <n v="2025"/>
    <x v="7"/>
    <x v="214"/>
  </r>
  <r>
    <d v="2025-08-04T00:00:00"/>
    <x v="0"/>
    <x v="3"/>
    <n v="264700"/>
    <n v="158549"/>
    <n v="338"/>
    <x v="215"/>
    <s v="Food"/>
    <s v="Distributor"/>
    <x v="0"/>
    <x v="5"/>
    <x v="128"/>
    <n v="86.9"/>
    <n v="110048"/>
    <n v="2025"/>
    <x v="7"/>
    <x v="215"/>
  </r>
  <r>
    <d v="2025-08-05T00:00:00"/>
    <x v="2"/>
    <x v="3"/>
    <n v="66277"/>
    <n v="37310"/>
    <n v="1493"/>
    <x v="216"/>
    <s v="Healthcare"/>
    <s v="Online"/>
    <x v="2"/>
    <x v="7"/>
    <x v="155"/>
    <n v="79.3"/>
    <n v="29380"/>
    <n v="2025"/>
    <x v="7"/>
    <x v="216"/>
  </r>
  <r>
    <d v="2025-08-06T00:00:00"/>
    <x v="0"/>
    <x v="5"/>
    <n v="217815"/>
    <n v="34943"/>
    <n v="799"/>
    <x v="217"/>
    <s v="Apparel"/>
    <s v="Online"/>
    <x v="2"/>
    <x v="3"/>
    <x v="72"/>
    <n v="98.4"/>
    <n v="169890"/>
    <n v="2025"/>
    <x v="7"/>
    <x v="217"/>
  </r>
  <r>
    <d v="2025-08-07T00:00:00"/>
    <x v="1"/>
    <x v="5"/>
    <n v="86731"/>
    <n v="65810"/>
    <n v="1052"/>
    <x v="218"/>
    <s v="Food"/>
    <s v="Distributor"/>
    <x v="3"/>
    <x v="6"/>
    <x v="8"/>
    <n v="89.3"/>
    <n v="19720"/>
    <n v="2025"/>
    <x v="7"/>
    <x v="218"/>
  </r>
  <r>
    <d v="2025-08-08T00:00:00"/>
    <x v="3"/>
    <x v="1"/>
    <n v="98473"/>
    <n v="48411"/>
    <n v="1243"/>
    <x v="219"/>
    <s v="Furniture"/>
    <s v="Distributor"/>
    <x v="1"/>
    <x v="8"/>
    <x v="156"/>
    <n v="81.8"/>
    <n v="50153"/>
    <n v="2025"/>
    <x v="7"/>
    <x v="219"/>
  </r>
  <r>
    <d v="2025-08-09T00:00:00"/>
    <x v="1"/>
    <x v="3"/>
    <n v="50074"/>
    <n v="38666"/>
    <n v="601"/>
    <x v="220"/>
    <s v="Food"/>
    <s v="Online"/>
    <x v="2"/>
    <x v="3"/>
    <x v="157"/>
    <n v="79.7"/>
    <n v="10388"/>
    <n v="2025"/>
    <x v="7"/>
    <x v="220"/>
  </r>
  <r>
    <d v="2025-08-10T00:00:00"/>
    <x v="3"/>
    <x v="5"/>
    <n v="246409"/>
    <n v="151119"/>
    <n v="1150"/>
    <x v="221"/>
    <s v="Food"/>
    <s v="Distributor"/>
    <x v="1"/>
    <x v="2"/>
    <x v="75"/>
    <n v="76.099999999999994"/>
    <n v="104276"/>
    <n v="2025"/>
    <x v="7"/>
    <x v="221"/>
  </r>
  <r>
    <d v="2025-08-11T00:00:00"/>
    <x v="3"/>
    <x v="3"/>
    <n v="226111"/>
    <n v="67719"/>
    <n v="1443"/>
    <x v="222"/>
    <s v="Electronics"/>
    <s v="Online"/>
    <x v="1"/>
    <x v="0"/>
    <x v="40"/>
    <n v="95.9"/>
    <n v="146193"/>
    <n v="2025"/>
    <x v="7"/>
    <x v="222"/>
  </r>
  <r>
    <d v="2025-08-12T00:00:00"/>
    <x v="3"/>
    <x v="3"/>
    <n v="53826"/>
    <n v="30182"/>
    <n v="802"/>
    <x v="223"/>
    <s v="Apparel"/>
    <s v="Retail"/>
    <x v="4"/>
    <x v="4"/>
    <x v="29"/>
    <n v="81.900000000000006"/>
    <n v="21764"/>
    <n v="2025"/>
    <x v="7"/>
    <x v="223"/>
  </r>
  <r>
    <d v="2025-08-13T00:00:00"/>
    <x v="3"/>
    <x v="5"/>
    <n v="190878"/>
    <n v="37230"/>
    <n v="1298"/>
    <x v="224"/>
    <s v="Electronics"/>
    <s v="Online"/>
    <x v="4"/>
    <x v="6"/>
    <x v="158"/>
    <n v="91.5"/>
    <n v="160882"/>
    <n v="2025"/>
    <x v="7"/>
    <x v="224"/>
  </r>
  <r>
    <d v="2025-08-14T00:00:00"/>
    <x v="3"/>
    <x v="2"/>
    <n v="260719"/>
    <n v="91422"/>
    <n v="1084"/>
    <x v="225"/>
    <s v="Healthcare"/>
    <s v="Retail"/>
    <x v="4"/>
    <x v="8"/>
    <x v="37"/>
    <n v="90.9"/>
    <n v="184818"/>
    <n v="2025"/>
    <x v="7"/>
    <x v="225"/>
  </r>
  <r>
    <d v="2025-08-15T00:00:00"/>
    <x v="2"/>
    <x v="4"/>
    <n v="248588"/>
    <n v="183184"/>
    <n v="487"/>
    <x v="226"/>
    <s v="Apparel"/>
    <s v="Retail"/>
    <x v="2"/>
    <x v="1"/>
    <x v="73"/>
    <n v="95"/>
    <n v="67340"/>
    <n v="2025"/>
    <x v="7"/>
    <x v="226"/>
  </r>
  <r>
    <d v="2025-08-16T00:00:00"/>
    <x v="0"/>
    <x v="5"/>
    <n v="113386"/>
    <n v="71068"/>
    <n v="315"/>
    <x v="227"/>
    <s v="Healthcare"/>
    <s v="Distributor"/>
    <x v="2"/>
    <x v="3"/>
    <x v="155"/>
    <n v="85.2"/>
    <n v="38961"/>
    <n v="2025"/>
    <x v="7"/>
    <x v="227"/>
  </r>
  <r>
    <d v="2025-08-17T00:00:00"/>
    <x v="1"/>
    <x v="2"/>
    <n v="230295"/>
    <n v="146985"/>
    <n v="604"/>
    <x v="228"/>
    <s v="Healthcare"/>
    <s v="Distributor"/>
    <x v="3"/>
    <x v="5"/>
    <x v="107"/>
    <n v="75.400000000000006"/>
    <n v="83356"/>
    <n v="2025"/>
    <x v="7"/>
    <x v="228"/>
  </r>
  <r>
    <d v="2025-08-18T00:00:00"/>
    <x v="3"/>
    <x v="3"/>
    <n v="71080"/>
    <n v="33895"/>
    <n v="573"/>
    <x v="229"/>
    <s v="Furniture"/>
    <s v="Online"/>
    <x v="4"/>
    <x v="2"/>
    <x v="159"/>
    <n v="96"/>
    <n v="38613"/>
    <n v="2025"/>
    <x v="7"/>
    <x v="229"/>
  </r>
  <r>
    <d v="2025-08-19T00:00:00"/>
    <x v="1"/>
    <x v="2"/>
    <n v="231341"/>
    <n v="57031"/>
    <n v="401"/>
    <x v="230"/>
    <s v="Food"/>
    <s v="Online"/>
    <x v="2"/>
    <x v="4"/>
    <x v="111"/>
    <n v="79.8"/>
    <n v="157718"/>
    <n v="2025"/>
    <x v="7"/>
    <x v="230"/>
  </r>
  <r>
    <d v="2025-08-20T00:00:00"/>
    <x v="3"/>
    <x v="2"/>
    <n v="147544"/>
    <n v="81927"/>
    <n v="229"/>
    <x v="231"/>
    <s v="Apparel"/>
    <s v="Retail"/>
    <x v="4"/>
    <x v="1"/>
    <x v="160"/>
    <n v="84.2"/>
    <n v="67883"/>
    <n v="2025"/>
    <x v="7"/>
    <x v="231"/>
  </r>
  <r>
    <d v="2025-08-21T00:00:00"/>
    <x v="3"/>
    <x v="5"/>
    <n v="246590"/>
    <n v="104681"/>
    <n v="1306"/>
    <x v="232"/>
    <s v="Food"/>
    <s v="Online"/>
    <x v="0"/>
    <x v="7"/>
    <x v="36"/>
    <n v="88.7"/>
    <n v="131868"/>
    <n v="2025"/>
    <x v="7"/>
    <x v="232"/>
  </r>
  <r>
    <d v="2025-08-22T00:00:00"/>
    <x v="3"/>
    <x v="2"/>
    <n v="238351"/>
    <n v="64537"/>
    <n v="813"/>
    <x v="233"/>
    <s v="Food"/>
    <s v="Distributor"/>
    <x v="2"/>
    <x v="1"/>
    <x v="161"/>
    <n v="87.1"/>
    <n v="176512"/>
    <n v="2025"/>
    <x v="7"/>
    <x v="233"/>
  </r>
  <r>
    <d v="2025-08-23T00:00:00"/>
    <x v="0"/>
    <x v="1"/>
    <n v="86408"/>
    <n v="49235"/>
    <n v="1026"/>
    <x v="234"/>
    <s v="Furniture"/>
    <s v="Retail"/>
    <x v="0"/>
    <x v="8"/>
    <x v="162"/>
    <n v="96.1"/>
    <n v="36344"/>
    <n v="2025"/>
    <x v="7"/>
    <x v="234"/>
  </r>
  <r>
    <d v="2025-08-24T00:00:00"/>
    <x v="1"/>
    <x v="4"/>
    <n v="267384"/>
    <n v="63085"/>
    <n v="852"/>
    <x v="235"/>
    <s v="Apparel"/>
    <s v="Retail"/>
    <x v="4"/>
    <x v="2"/>
    <x v="163"/>
    <n v="83.8"/>
    <n v="187573"/>
    <n v="2025"/>
    <x v="7"/>
    <x v="235"/>
  </r>
  <r>
    <d v="2025-08-25T00:00:00"/>
    <x v="0"/>
    <x v="3"/>
    <n v="287500"/>
    <n v="216284"/>
    <n v="688"/>
    <x v="236"/>
    <s v="Healthcare"/>
    <s v="Distributor"/>
    <x v="2"/>
    <x v="2"/>
    <x v="56"/>
    <n v="77.400000000000006"/>
    <n v="74718"/>
    <n v="2025"/>
    <x v="7"/>
    <x v="236"/>
  </r>
  <r>
    <d v="2025-08-26T00:00:00"/>
    <x v="3"/>
    <x v="1"/>
    <n v="115650"/>
    <n v="51288"/>
    <n v="547"/>
    <x v="237"/>
    <s v="Food"/>
    <s v="Online"/>
    <x v="2"/>
    <x v="1"/>
    <x v="92"/>
    <n v="95.5"/>
    <n v="60837"/>
    <n v="2025"/>
    <x v="7"/>
    <x v="237"/>
  </r>
  <r>
    <d v="2025-08-27T00:00:00"/>
    <x v="3"/>
    <x v="3"/>
    <n v="61523"/>
    <n v="43711"/>
    <n v="325"/>
    <x v="238"/>
    <s v="Healthcare"/>
    <s v="Distributor"/>
    <x v="4"/>
    <x v="3"/>
    <x v="164"/>
    <n v="95.7"/>
    <n v="19259"/>
    <n v="2025"/>
    <x v="7"/>
    <x v="238"/>
  </r>
  <r>
    <d v="2025-08-28T00:00:00"/>
    <x v="0"/>
    <x v="5"/>
    <n v="131888"/>
    <n v="90516"/>
    <n v="1136"/>
    <x v="239"/>
    <s v="Food"/>
    <s v="Online"/>
    <x v="4"/>
    <x v="4"/>
    <x v="165"/>
    <n v="93.7"/>
    <n v="37719"/>
    <n v="2025"/>
    <x v="7"/>
    <x v="239"/>
  </r>
  <r>
    <d v="2025-08-29T00:00:00"/>
    <x v="1"/>
    <x v="4"/>
    <n v="196144"/>
    <n v="76878"/>
    <n v="614"/>
    <x v="240"/>
    <s v="Apparel"/>
    <s v="Distributor"/>
    <x v="4"/>
    <x v="6"/>
    <x v="49"/>
    <n v="76.099999999999994"/>
    <n v="130519"/>
    <n v="2025"/>
    <x v="7"/>
    <x v="240"/>
  </r>
  <r>
    <d v="2025-08-30T00:00:00"/>
    <x v="3"/>
    <x v="4"/>
    <n v="79312"/>
    <n v="38527"/>
    <n v="210"/>
    <x v="241"/>
    <s v="Furniture"/>
    <s v="Online"/>
    <x v="2"/>
    <x v="0"/>
    <x v="166"/>
    <n v="92.1"/>
    <n v="44678"/>
    <n v="2025"/>
    <x v="7"/>
    <x v="241"/>
  </r>
  <r>
    <d v="2025-08-31T00:00:00"/>
    <x v="0"/>
    <x v="3"/>
    <n v="104401"/>
    <n v="62354"/>
    <n v="621"/>
    <x v="242"/>
    <s v="Apparel"/>
    <s v="Online"/>
    <x v="2"/>
    <x v="6"/>
    <x v="1"/>
    <n v="83.4"/>
    <n v="45322"/>
    <n v="2025"/>
    <x v="7"/>
    <x v="242"/>
  </r>
  <r>
    <d v="2025-09-01T00:00:00"/>
    <x v="0"/>
    <x v="3"/>
    <n v="193998"/>
    <n v="119801"/>
    <n v="499"/>
    <x v="243"/>
    <s v="Apparel"/>
    <s v="Online"/>
    <x v="2"/>
    <x v="7"/>
    <x v="156"/>
    <n v="94"/>
    <n v="81510"/>
    <n v="2025"/>
    <x v="8"/>
    <x v="243"/>
  </r>
  <r>
    <d v="2025-09-02T00:00:00"/>
    <x v="3"/>
    <x v="5"/>
    <n v="123445"/>
    <n v="78042"/>
    <n v="595"/>
    <x v="244"/>
    <s v="Food"/>
    <s v="Online"/>
    <x v="0"/>
    <x v="5"/>
    <x v="123"/>
    <n v="95.8"/>
    <n v="43778"/>
    <n v="2025"/>
    <x v="8"/>
    <x v="244"/>
  </r>
  <r>
    <d v="2025-09-03T00:00:00"/>
    <x v="1"/>
    <x v="4"/>
    <n v="136152"/>
    <n v="72601"/>
    <n v="740"/>
    <x v="245"/>
    <s v="Electronics"/>
    <s v="Retail"/>
    <x v="2"/>
    <x v="8"/>
    <x v="167"/>
    <n v="83.1"/>
    <n v="69497"/>
    <n v="2025"/>
    <x v="8"/>
    <x v="245"/>
  </r>
  <r>
    <d v="2025-09-04T00:00:00"/>
    <x v="3"/>
    <x v="1"/>
    <n v="268468"/>
    <n v="178432"/>
    <n v="1136"/>
    <x v="246"/>
    <s v="Food"/>
    <s v="Retail"/>
    <x v="1"/>
    <x v="1"/>
    <x v="82"/>
    <n v="78.599999999999994"/>
    <n v="86104"/>
    <n v="2025"/>
    <x v="8"/>
    <x v="246"/>
  </r>
  <r>
    <d v="2025-09-05T00:00:00"/>
    <x v="3"/>
    <x v="3"/>
    <n v="137652"/>
    <n v="87600"/>
    <n v="757"/>
    <x v="247"/>
    <s v="Food"/>
    <s v="Distributor"/>
    <x v="0"/>
    <x v="3"/>
    <x v="168"/>
    <n v="90.9"/>
    <n v="48169"/>
    <n v="2025"/>
    <x v="8"/>
    <x v="247"/>
  </r>
  <r>
    <d v="2025-09-06T00:00:00"/>
    <x v="2"/>
    <x v="4"/>
    <n v="56755"/>
    <n v="40457"/>
    <n v="1356"/>
    <x v="248"/>
    <s v="Furniture"/>
    <s v="Distributor"/>
    <x v="4"/>
    <x v="4"/>
    <x v="31"/>
    <n v="93.4"/>
    <n v="15083"/>
    <n v="2025"/>
    <x v="8"/>
    <x v="248"/>
  </r>
  <r>
    <d v="2025-09-07T00:00:00"/>
    <x v="1"/>
    <x v="0"/>
    <n v="240594"/>
    <n v="182983"/>
    <n v="1414"/>
    <x v="249"/>
    <s v="Healthcare"/>
    <s v="Retail"/>
    <x v="2"/>
    <x v="1"/>
    <x v="169"/>
    <n v="77.5"/>
    <n v="55299"/>
    <n v="2025"/>
    <x v="8"/>
    <x v="249"/>
  </r>
  <r>
    <d v="2025-09-08T00:00:00"/>
    <x v="3"/>
    <x v="1"/>
    <n v="280949"/>
    <n v="55907"/>
    <n v="1419"/>
    <x v="250"/>
    <s v="Furniture"/>
    <s v="Online"/>
    <x v="3"/>
    <x v="7"/>
    <x v="57"/>
    <n v="80.900000000000006"/>
    <n v="245647"/>
    <n v="2025"/>
    <x v="8"/>
    <x v="250"/>
  </r>
  <r>
    <d v="2025-09-09T00:00:00"/>
    <x v="3"/>
    <x v="5"/>
    <n v="88994"/>
    <n v="67331"/>
    <n v="1390"/>
    <x v="251"/>
    <s v="Furniture"/>
    <s v="Retail"/>
    <x v="0"/>
    <x v="1"/>
    <x v="163"/>
    <n v="89.4"/>
    <n v="21618"/>
    <n v="2025"/>
    <x v="8"/>
    <x v="251"/>
  </r>
  <r>
    <d v="2025-09-10T00:00:00"/>
    <x v="3"/>
    <x v="0"/>
    <n v="59683"/>
    <n v="38603"/>
    <n v="409"/>
    <x v="252"/>
    <s v="Healthcare"/>
    <s v="Distributor"/>
    <x v="2"/>
    <x v="7"/>
    <x v="89"/>
    <n v="79.3"/>
    <n v="23129"/>
    <n v="2025"/>
    <x v="8"/>
    <x v="252"/>
  </r>
  <r>
    <d v="2025-09-11T00:00:00"/>
    <x v="3"/>
    <x v="2"/>
    <n v="263999"/>
    <n v="42269"/>
    <n v="434"/>
    <x v="253"/>
    <s v="Furniture"/>
    <s v="Retail"/>
    <x v="0"/>
    <x v="4"/>
    <x v="47"/>
    <n v="87.3"/>
    <n v="220948"/>
    <n v="2025"/>
    <x v="8"/>
    <x v="253"/>
  </r>
  <r>
    <d v="2025-09-12T00:00:00"/>
    <x v="1"/>
    <x v="0"/>
    <n v="79856"/>
    <n v="50836"/>
    <n v="1166"/>
    <x v="254"/>
    <s v="Furniture"/>
    <s v="Online"/>
    <x v="1"/>
    <x v="4"/>
    <x v="125"/>
    <n v="92.1"/>
    <n v="30177"/>
    <n v="2025"/>
    <x v="8"/>
    <x v="254"/>
  </r>
  <r>
    <d v="2025-09-13T00:00:00"/>
    <x v="0"/>
    <x v="1"/>
    <n v="113138"/>
    <n v="74681"/>
    <n v="776"/>
    <x v="255"/>
    <s v="Food"/>
    <s v="Distributor"/>
    <x v="0"/>
    <x v="3"/>
    <x v="170"/>
    <n v="93.7"/>
    <n v="37120"/>
    <n v="2025"/>
    <x v="8"/>
    <x v="255"/>
  </r>
  <r>
    <d v="2025-09-14T00:00:00"/>
    <x v="2"/>
    <x v="4"/>
    <n v="205904"/>
    <n v="49201"/>
    <n v="1239"/>
    <x v="256"/>
    <s v="Furniture"/>
    <s v="Distributor"/>
    <x v="4"/>
    <x v="3"/>
    <x v="171"/>
    <n v="96.7"/>
    <n v="158106"/>
    <n v="2025"/>
    <x v="8"/>
    <x v="256"/>
  </r>
  <r>
    <d v="2025-09-15T00:00:00"/>
    <x v="1"/>
    <x v="4"/>
    <n v="276764"/>
    <n v="189303"/>
    <n v="633"/>
    <x v="257"/>
    <s v="Electronics"/>
    <s v="Online"/>
    <x v="1"/>
    <x v="1"/>
    <x v="129"/>
    <n v="76.8"/>
    <n v="83491"/>
    <n v="2025"/>
    <x v="8"/>
    <x v="257"/>
  </r>
  <r>
    <d v="2025-09-16T00:00:00"/>
    <x v="1"/>
    <x v="5"/>
    <n v="156118"/>
    <n v="76764"/>
    <n v="475"/>
    <x v="258"/>
    <s v="Apparel"/>
    <s v="Online"/>
    <x v="0"/>
    <x v="4"/>
    <x v="172"/>
    <n v="94.5"/>
    <n v="73897"/>
    <n v="2025"/>
    <x v="8"/>
    <x v="258"/>
  </r>
  <r>
    <d v="2025-09-17T00:00:00"/>
    <x v="0"/>
    <x v="2"/>
    <n v="281947"/>
    <n v="131913"/>
    <n v="1062"/>
    <x v="259"/>
    <s v="Furniture"/>
    <s v="Online"/>
    <x v="4"/>
    <x v="3"/>
    <x v="173"/>
    <n v="79.5"/>
    <n v="137835"/>
    <n v="2025"/>
    <x v="8"/>
    <x v="259"/>
  </r>
  <r>
    <d v="2025-09-18T00:00:00"/>
    <x v="0"/>
    <x v="1"/>
    <n v="145032"/>
    <n v="88721"/>
    <n v="341"/>
    <x v="260"/>
    <s v="Furniture"/>
    <s v="Online"/>
    <x v="4"/>
    <x v="2"/>
    <x v="174"/>
    <n v="96.6"/>
    <n v="58382"/>
    <n v="2025"/>
    <x v="8"/>
    <x v="260"/>
  </r>
  <r>
    <d v="2025-09-19T00:00:00"/>
    <x v="2"/>
    <x v="4"/>
    <n v="253392"/>
    <n v="120105"/>
    <n v="318"/>
    <x v="261"/>
    <s v="Apparel"/>
    <s v="Distributor"/>
    <x v="1"/>
    <x v="9"/>
    <x v="23"/>
    <n v="83.4"/>
    <n v="139961"/>
    <n v="2025"/>
    <x v="8"/>
    <x v="261"/>
  </r>
  <r>
    <d v="2025-09-20T00:00:00"/>
    <x v="1"/>
    <x v="3"/>
    <n v="84006"/>
    <n v="32434"/>
    <n v="1419"/>
    <x v="262"/>
    <s v="Healthcare"/>
    <s v="Online"/>
    <x v="2"/>
    <x v="3"/>
    <x v="175"/>
    <n v="75.099999999999994"/>
    <n v="50915"/>
    <n v="2025"/>
    <x v="8"/>
    <x v="262"/>
  </r>
  <r>
    <d v="2025-09-21T00:00:00"/>
    <x v="1"/>
    <x v="4"/>
    <n v="236421"/>
    <n v="36964"/>
    <n v="298"/>
    <x v="263"/>
    <s v="Furniture"/>
    <s v="Distributor"/>
    <x v="0"/>
    <x v="6"/>
    <x v="176"/>
    <n v="91.9"/>
    <n v="206825"/>
    <n v="2025"/>
    <x v="8"/>
    <x v="263"/>
  </r>
  <r>
    <d v="2025-09-22T00:00:00"/>
    <x v="3"/>
    <x v="0"/>
    <n v="64798"/>
    <n v="34523"/>
    <n v="978"/>
    <x v="264"/>
    <s v="Food"/>
    <s v="Online"/>
    <x v="4"/>
    <x v="2"/>
    <x v="8"/>
    <n v="87.6"/>
    <n v="31143"/>
    <n v="2025"/>
    <x v="8"/>
    <x v="264"/>
  </r>
  <r>
    <d v="2025-09-23T00:00:00"/>
    <x v="0"/>
    <x v="0"/>
    <n v="126492"/>
    <n v="79318"/>
    <n v="647"/>
    <x v="265"/>
    <s v="Furniture"/>
    <s v="Online"/>
    <x v="4"/>
    <x v="9"/>
    <x v="156"/>
    <n v="86.5"/>
    <n v="51332"/>
    <n v="2025"/>
    <x v="8"/>
    <x v="265"/>
  </r>
  <r>
    <d v="2025-09-24T00:00:00"/>
    <x v="1"/>
    <x v="2"/>
    <n v="192797"/>
    <n v="121964"/>
    <n v="602"/>
    <x v="266"/>
    <s v="Electronics"/>
    <s v="Retail"/>
    <x v="0"/>
    <x v="3"/>
    <x v="174"/>
    <n v="82.6"/>
    <n v="71964"/>
    <n v="2025"/>
    <x v="8"/>
    <x v="266"/>
  </r>
  <r>
    <d v="2025-09-25T00:00:00"/>
    <x v="0"/>
    <x v="0"/>
    <n v="299324"/>
    <n v="119225"/>
    <n v="493"/>
    <x v="267"/>
    <s v="Electronics"/>
    <s v="Online"/>
    <x v="3"/>
    <x v="3"/>
    <x v="177"/>
    <n v="90.8"/>
    <n v="165059"/>
    <n v="2025"/>
    <x v="8"/>
    <x v="267"/>
  </r>
  <r>
    <d v="2025-09-26T00:00:00"/>
    <x v="1"/>
    <x v="4"/>
    <n v="211340"/>
    <n v="161576"/>
    <n v="419"/>
    <x v="268"/>
    <s v="Healthcare"/>
    <s v="Retail"/>
    <x v="3"/>
    <x v="5"/>
    <x v="178"/>
    <n v="77.099999999999994"/>
    <n v="50374"/>
    <n v="2025"/>
    <x v="8"/>
    <x v="268"/>
  </r>
  <r>
    <d v="2025-09-27T00:00:00"/>
    <x v="2"/>
    <x v="2"/>
    <n v="98371"/>
    <n v="55037"/>
    <n v="1035"/>
    <x v="269"/>
    <s v="Electronics"/>
    <s v="Online"/>
    <x v="3"/>
    <x v="6"/>
    <x v="179"/>
    <n v="79.8"/>
    <n v="46570"/>
    <n v="2025"/>
    <x v="8"/>
    <x v="269"/>
  </r>
  <r>
    <d v="2025-09-28T00:00:00"/>
    <x v="3"/>
    <x v="1"/>
    <n v="121707"/>
    <n v="33290"/>
    <n v="1196"/>
    <x v="270"/>
    <s v="Healthcare"/>
    <s v="Online"/>
    <x v="4"/>
    <x v="5"/>
    <x v="180"/>
    <n v="88"/>
    <n v="89732"/>
    <n v="2025"/>
    <x v="8"/>
    <x v="270"/>
  </r>
  <r>
    <d v="2025-09-29T00:00:00"/>
    <x v="2"/>
    <x v="2"/>
    <n v="291043"/>
    <n v="146871"/>
    <n v="1026"/>
    <x v="271"/>
    <s v="Furniture"/>
    <s v="Retail"/>
    <x v="1"/>
    <x v="6"/>
    <x v="181"/>
    <n v="89.7"/>
    <n v="150713"/>
    <n v="2025"/>
    <x v="8"/>
    <x v="271"/>
  </r>
  <r>
    <d v="2025-09-30T00:00:00"/>
    <x v="3"/>
    <x v="0"/>
    <n v="198151"/>
    <n v="40485"/>
    <n v="1288"/>
    <x v="272"/>
    <s v="Electronics"/>
    <s v="Retail"/>
    <x v="0"/>
    <x v="6"/>
    <x v="182"/>
    <n v="89.3"/>
    <n v="173386"/>
    <n v="2025"/>
    <x v="8"/>
    <x v="272"/>
  </r>
  <r>
    <d v="2025-10-01T00:00:00"/>
    <x v="1"/>
    <x v="3"/>
    <n v="213995"/>
    <n v="132318"/>
    <n v="885"/>
    <x v="273"/>
    <s v="Apparel"/>
    <s v="Online"/>
    <x v="1"/>
    <x v="3"/>
    <x v="28"/>
    <n v="76.900000000000006"/>
    <n v="82157"/>
    <n v="2025"/>
    <x v="9"/>
    <x v="273"/>
  </r>
  <r>
    <d v="2025-10-02T00:00:00"/>
    <x v="1"/>
    <x v="3"/>
    <n v="180164"/>
    <n v="128520"/>
    <n v="1177"/>
    <x v="274"/>
    <s v="Apparel"/>
    <s v="Distributor"/>
    <x v="3"/>
    <x v="7"/>
    <x v="183"/>
    <n v="87.3"/>
    <n v="49055"/>
    <n v="2025"/>
    <x v="9"/>
    <x v="274"/>
  </r>
  <r>
    <d v="2025-10-03T00:00:00"/>
    <x v="3"/>
    <x v="0"/>
    <n v="146363"/>
    <n v="112302"/>
    <n v="351"/>
    <x v="275"/>
    <s v="Apparel"/>
    <s v="Distributor"/>
    <x v="0"/>
    <x v="1"/>
    <x v="184"/>
    <n v="80"/>
    <n v="32856"/>
    <n v="2025"/>
    <x v="9"/>
    <x v="275"/>
  </r>
  <r>
    <d v="2025-10-04T00:00:00"/>
    <x v="2"/>
    <x v="2"/>
    <n v="107168"/>
    <n v="84110"/>
    <n v="1240"/>
    <x v="276"/>
    <s v="Electronics"/>
    <s v="Retail"/>
    <x v="1"/>
    <x v="2"/>
    <x v="122"/>
    <n v="96"/>
    <n v="22812"/>
    <n v="2025"/>
    <x v="9"/>
    <x v="276"/>
  </r>
  <r>
    <d v="2025-10-05T00:00:00"/>
    <x v="0"/>
    <x v="3"/>
    <n v="234970"/>
    <n v="148959"/>
    <n v="555"/>
    <x v="277"/>
    <s v="Food"/>
    <s v="Online"/>
    <x v="2"/>
    <x v="6"/>
    <x v="22"/>
    <n v="98.9"/>
    <n v="80793"/>
    <n v="2025"/>
    <x v="9"/>
    <x v="277"/>
  </r>
  <r>
    <d v="2025-10-06T00:00:00"/>
    <x v="0"/>
    <x v="4"/>
    <n v="63723"/>
    <n v="34834"/>
    <n v="1255"/>
    <x v="278"/>
    <s v="Food"/>
    <s v="Online"/>
    <x v="3"/>
    <x v="2"/>
    <x v="185"/>
    <n v="96.9"/>
    <n v="27034"/>
    <n v="2025"/>
    <x v="9"/>
    <x v="278"/>
  </r>
  <r>
    <d v="2025-10-07T00:00:00"/>
    <x v="0"/>
    <x v="1"/>
    <n v="232797"/>
    <n v="77591"/>
    <n v="767"/>
    <x v="279"/>
    <s v="Food"/>
    <s v="Retail"/>
    <x v="0"/>
    <x v="4"/>
    <x v="186"/>
    <n v="97"/>
    <n v="155196"/>
    <n v="2025"/>
    <x v="9"/>
    <x v="279"/>
  </r>
  <r>
    <d v="2025-10-08T00:00:00"/>
    <x v="1"/>
    <x v="5"/>
    <n v="205566"/>
    <n v="156844"/>
    <n v="693"/>
    <x v="280"/>
    <s v="Electronics"/>
    <s v="Distributor"/>
    <x v="0"/>
    <x v="2"/>
    <x v="49"/>
    <n v="81.400000000000006"/>
    <n v="44414"/>
    <n v="2025"/>
    <x v="9"/>
    <x v="280"/>
  </r>
  <r>
    <d v="2025-10-09T00:00:00"/>
    <x v="3"/>
    <x v="2"/>
    <n v="93703"/>
    <n v="43243"/>
    <n v="1179"/>
    <x v="281"/>
    <s v="Healthcare"/>
    <s v="Distributor"/>
    <x v="2"/>
    <x v="9"/>
    <x v="108"/>
    <n v="95.9"/>
    <n v="55408"/>
    <n v="2025"/>
    <x v="9"/>
    <x v="281"/>
  </r>
  <r>
    <d v="2025-10-10T00:00:00"/>
    <x v="0"/>
    <x v="3"/>
    <n v="206568"/>
    <n v="145079"/>
    <n v="875"/>
    <x v="282"/>
    <s v="Furniture"/>
    <s v="Online"/>
    <x v="0"/>
    <x v="6"/>
    <x v="14"/>
    <n v="82.4"/>
    <n v="62002"/>
    <n v="2025"/>
    <x v="9"/>
    <x v="282"/>
  </r>
  <r>
    <d v="2025-10-11T00:00:00"/>
    <x v="2"/>
    <x v="0"/>
    <n v="117872"/>
    <n v="66036"/>
    <n v="782"/>
    <x v="283"/>
    <s v="Electronics"/>
    <s v="Online"/>
    <x v="1"/>
    <x v="0"/>
    <x v="60"/>
    <n v="81.400000000000006"/>
    <n v="54490"/>
    <n v="2025"/>
    <x v="9"/>
    <x v="283"/>
  </r>
  <r>
    <d v="2025-10-12T00:00:00"/>
    <x v="1"/>
    <x v="2"/>
    <n v="180276"/>
    <n v="144077"/>
    <n v="1416"/>
    <x v="284"/>
    <s v="Electronics"/>
    <s v="Retail"/>
    <x v="2"/>
    <x v="8"/>
    <x v="0"/>
    <n v="85.7"/>
    <n v="39488"/>
    <n v="2025"/>
    <x v="9"/>
    <x v="284"/>
  </r>
  <r>
    <d v="2025-10-13T00:00:00"/>
    <x v="1"/>
    <x v="3"/>
    <n v="247926"/>
    <n v="113117"/>
    <n v="443"/>
    <x v="285"/>
    <s v="Food"/>
    <s v="Distributor"/>
    <x v="3"/>
    <x v="0"/>
    <x v="125"/>
    <n v="97"/>
    <n v="134994"/>
    <n v="2025"/>
    <x v="9"/>
    <x v="285"/>
  </r>
  <r>
    <d v="2025-10-14T00:00:00"/>
    <x v="1"/>
    <x v="2"/>
    <n v="198574"/>
    <n v="112748"/>
    <n v="665"/>
    <x v="286"/>
    <s v="Electronics"/>
    <s v="Distributor"/>
    <x v="4"/>
    <x v="5"/>
    <x v="187"/>
    <n v="89.7"/>
    <n v="86628"/>
    <n v="2025"/>
    <x v="9"/>
    <x v="286"/>
  </r>
  <r>
    <d v="2025-10-15T00:00:00"/>
    <x v="3"/>
    <x v="0"/>
    <n v="59996"/>
    <n v="35510"/>
    <n v="980"/>
    <x v="287"/>
    <s v="Apparel"/>
    <s v="Retail"/>
    <x v="0"/>
    <x v="4"/>
    <x v="188"/>
    <n v="91.3"/>
    <n v="22678"/>
    <n v="2025"/>
    <x v="9"/>
    <x v="287"/>
  </r>
  <r>
    <d v="2025-10-16T00:00:00"/>
    <x v="0"/>
    <x v="4"/>
    <n v="160969"/>
    <n v="83383"/>
    <n v="1000"/>
    <x v="288"/>
    <s v="Apparel"/>
    <s v="Distributor"/>
    <x v="3"/>
    <x v="9"/>
    <x v="46"/>
    <n v="95.3"/>
    <n v="84035"/>
    <n v="2025"/>
    <x v="9"/>
    <x v="288"/>
  </r>
  <r>
    <d v="2025-10-17T00:00:00"/>
    <x v="0"/>
    <x v="2"/>
    <n v="160395"/>
    <n v="45642"/>
    <n v="357"/>
    <x v="289"/>
    <s v="Healthcare"/>
    <s v="Online"/>
    <x v="0"/>
    <x v="1"/>
    <x v="189"/>
    <n v="84.9"/>
    <n v="123856"/>
    <n v="2025"/>
    <x v="9"/>
    <x v="289"/>
  </r>
  <r>
    <d v="2025-10-18T00:00:00"/>
    <x v="2"/>
    <x v="4"/>
    <n v="126907"/>
    <n v="30668"/>
    <n v="245"/>
    <x v="290"/>
    <s v="Electronics"/>
    <s v="Retail"/>
    <x v="0"/>
    <x v="0"/>
    <x v="190"/>
    <n v="78.400000000000006"/>
    <n v="100571"/>
    <n v="2025"/>
    <x v="9"/>
    <x v="290"/>
  </r>
  <r>
    <d v="2025-10-19T00:00:00"/>
    <x v="3"/>
    <x v="4"/>
    <n v="170821"/>
    <n v="125276"/>
    <n v="627"/>
    <x v="291"/>
    <s v="Healthcare"/>
    <s v="Retail"/>
    <x v="4"/>
    <x v="5"/>
    <x v="6"/>
    <n v="87.9"/>
    <n v="41060"/>
    <n v="2025"/>
    <x v="9"/>
    <x v="291"/>
  </r>
  <r>
    <d v="2025-10-20T00:00:00"/>
    <x v="0"/>
    <x v="4"/>
    <n v="66974"/>
    <n v="41951"/>
    <n v="733"/>
    <x v="292"/>
    <s v="Food"/>
    <s v="Online"/>
    <x v="1"/>
    <x v="8"/>
    <x v="40"/>
    <n v="77.599999999999994"/>
    <n v="25969"/>
    <n v="2025"/>
    <x v="9"/>
    <x v="292"/>
  </r>
  <r>
    <d v="2025-10-21T00:00:00"/>
    <x v="0"/>
    <x v="5"/>
    <n v="217624"/>
    <n v="106681"/>
    <n v="410"/>
    <x v="293"/>
    <s v="Electronics"/>
    <s v="Online"/>
    <x v="0"/>
    <x v="4"/>
    <x v="191"/>
    <n v="90.9"/>
    <n v="120715"/>
    <n v="2025"/>
    <x v="9"/>
    <x v="293"/>
  </r>
  <r>
    <d v="2025-10-22T00:00:00"/>
    <x v="0"/>
    <x v="2"/>
    <n v="107837"/>
    <n v="44770"/>
    <n v="1486"/>
    <x v="294"/>
    <s v="Electronics"/>
    <s v="Retail"/>
    <x v="1"/>
    <x v="1"/>
    <x v="54"/>
    <n v="90.2"/>
    <n v="63251"/>
    <n v="2025"/>
    <x v="9"/>
    <x v="294"/>
  </r>
  <r>
    <d v="2025-10-23T00:00:00"/>
    <x v="1"/>
    <x v="5"/>
    <n v="160905"/>
    <n v="32998"/>
    <n v="394"/>
    <x v="295"/>
    <s v="Healthcare"/>
    <s v="Retail"/>
    <x v="1"/>
    <x v="2"/>
    <x v="165"/>
    <n v="95.4"/>
    <n v="124217"/>
    <n v="2025"/>
    <x v="9"/>
    <x v="295"/>
  </r>
  <r>
    <d v="2025-10-24T00:00:00"/>
    <x v="0"/>
    <x v="2"/>
    <n v="265668"/>
    <n v="61171"/>
    <n v="1105"/>
    <x v="296"/>
    <s v="Furniture"/>
    <s v="Online"/>
    <x v="0"/>
    <x v="6"/>
    <x v="80"/>
    <n v="78.099999999999994"/>
    <n v="191075"/>
    <n v="2025"/>
    <x v="9"/>
    <x v="296"/>
  </r>
  <r>
    <d v="2025-10-25T00:00:00"/>
    <x v="2"/>
    <x v="5"/>
    <n v="202015"/>
    <n v="155997"/>
    <n v="1134"/>
    <x v="297"/>
    <s v="Healthcare"/>
    <s v="Distributor"/>
    <x v="4"/>
    <x v="6"/>
    <x v="192"/>
    <n v="85.6"/>
    <n v="41437"/>
    <n v="2025"/>
    <x v="9"/>
    <x v="297"/>
  </r>
  <r>
    <d v="2025-10-26T00:00:00"/>
    <x v="2"/>
    <x v="5"/>
    <n v="191094"/>
    <n v="123320"/>
    <n v="700"/>
    <x v="298"/>
    <s v="Food"/>
    <s v="Online"/>
    <x v="2"/>
    <x v="6"/>
    <x v="193"/>
    <n v="82.4"/>
    <n v="61381"/>
    <n v="2025"/>
    <x v="9"/>
    <x v="298"/>
  </r>
  <r>
    <d v="2025-10-27T00:00:00"/>
    <x v="1"/>
    <x v="0"/>
    <n v="138090"/>
    <n v="103332"/>
    <n v="1329"/>
    <x v="299"/>
    <s v="Apparel"/>
    <s v="Retail"/>
    <x v="4"/>
    <x v="0"/>
    <x v="56"/>
    <n v="98.4"/>
    <n v="35622"/>
    <n v="2025"/>
    <x v="9"/>
    <x v="299"/>
  </r>
  <r>
    <d v="2025-10-28T00:00:00"/>
    <x v="2"/>
    <x v="5"/>
    <n v="165969"/>
    <n v="64167"/>
    <n v="757"/>
    <x v="300"/>
    <s v="Healthcare"/>
    <s v="Distributor"/>
    <x v="0"/>
    <x v="9"/>
    <x v="55"/>
    <n v="81.400000000000006"/>
    <n v="92858"/>
    <n v="2025"/>
    <x v="9"/>
    <x v="300"/>
  </r>
  <r>
    <d v="2025-10-29T00:00:00"/>
    <x v="1"/>
    <x v="0"/>
    <n v="158909"/>
    <n v="34042"/>
    <n v="884"/>
    <x v="301"/>
    <s v="Food"/>
    <s v="Distributor"/>
    <x v="3"/>
    <x v="0"/>
    <x v="194"/>
    <n v="87.5"/>
    <n v="133274"/>
    <n v="2025"/>
    <x v="9"/>
    <x v="301"/>
  </r>
  <r>
    <d v="2025-10-30T00:00:00"/>
    <x v="1"/>
    <x v="1"/>
    <n v="168895"/>
    <n v="125832"/>
    <n v="682"/>
    <x v="302"/>
    <s v="Apparel"/>
    <s v="Retail"/>
    <x v="3"/>
    <x v="4"/>
    <x v="68"/>
    <n v="87.8"/>
    <n v="39469"/>
    <n v="2025"/>
    <x v="9"/>
    <x v="302"/>
  </r>
  <r>
    <d v="2025-10-31T00:00:00"/>
    <x v="2"/>
    <x v="0"/>
    <n v="230059"/>
    <n v="101477"/>
    <n v="1498"/>
    <x v="303"/>
    <s v="Healthcare"/>
    <s v="Distributor"/>
    <x v="1"/>
    <x v="6"/>
    <x v="89"/>
    <n v="86.9"/>
    <n v="132488"/>
    <n v="2025"/>
    <x v="9"/>
    <x v="303"/>
  </r>
  <r>
    <d v="2025-11-01T00:00:00"/>
    <x v="2"/>
    <x v="3"/>
    <n v="73210"/>
    <n v="37034"/>
    <n v="876"/>
    <x v="304"/>
    <s v="Healthcare"/>
    <s v="Distributor"/>
    <x v="0"/>
    <x v="1"/>
    <x v="195"/>
    <n v="80.3"/>
    <n v="38088"/>
    <n v="2025"/>
    <x v="10"/>
    <x v="304"/>
  </r>
  <r>
    <d v="2025-11-02T00:00:00"/>
    <x v="1"/>
    <x v="3"/>
    <n v="237767"/>
    <n v="145751"/>
    <n v="630"/>
    <x v="305"/>
    <s v="Healthcare"/>
    <s v="Online"/>
    <x v="4"/>
    <x v="8"/>
    <x v="57"/>
    <n v="88.6"/>
    <n v="92723"/>
    <n v="2025"/>
    <x v="10"/>
    <x v="305"/>
  </r>
  <r>
    <d v="2025-11-03T00:00:00"/>
    <x v="0"/>
    <x v="1"/>
    <n v="98400"/>
    <n v="38341"/>
    <n v="401"/>
    <x v="306"/>
    <s v="Furniture"/>
    <s v="Online"/>
    <x v="3"/>
    <x v="4"/>
    <x v="29"/>
    <n v="88.1"/>
    <n v="59442"/>
    <n v="2025"/>
    <x v="10"/>
    <x v="306"/>
  </r>
  <r>
    <d v="2025-11-04T00:00:00"/>
    <x v="0"/>
    <x v="0"/>
    <n v="114365"/>
    <n v="81495"/>
    <n v="1100"/>
    <x v="307"/>
    <s v="Healthcare"/>
    <s v="Online"/>
    <x v="1"/>
    <x v="6"/>
    <x v="97"/>
    <n v="79.5"/>
    <n v="31167"/>
    <n v="2025"/>
    <x v="10"/>
    <x v="307"/>
  </r>
  <r>
    <d v="2025-11-05T00:00:00"/>
    <x v="2"/>
    <x v="3"/>
    <n v="235912"/>
    <n v="151120"/>
    <n v="1174"/>
    <x v="308"/>
    <s v="Healthcare"/>
    <s v="Online"/>
    <x v="0"/>
    <x v="4"/>
    <x v="196"/>
    <n v="92.6"/>
    <n v="92544"/>
    <n v="2025"/>
    <x v="10"/>
    <x v="308"/>
  </r>
  <r>
    <d v="2025-11-06T00:00:00"/>
    <x v="1"/>
    <x v="0"/>
    <n v="96279"/>
    <n v="59724"/>
    <n v="1207"/>
    <x v="309"/>
    <s v="Apparel"/>
    <s v="Distributor"/>
    <x v="0"/>
    <x v="2"/>
    <x v="121"/>
    <n v="97.5"/>
    <n v="36504"/>
    <n v="2025"/>
    <x v="10"/>
    <x v="309"/>
  </r>
  <r>
    <d v="2025-11-07T00:00:00"/>
    <x v="1"/>
    <x v="1"/>
    <n v="144064"/>
    <n v="97948"/>
    <n v="789"/>
    <x v="310"/>
    <s v="Apparel"/>
    <s v="Online"/>
    <x v="4"/>
    <x v="6"/>
    <x v="197"/>
    <n v="92.7"/>
    <n v="42076"/>
    <n v="2025"/>
    <x v="10"/>
    <x v="310"/>
  </r>
  <r>
    <d v="2025-11-08T00:00:00"/>
    <x v="2"/>
    <x v="0"/>
    <n v="141906"/>
    <n v="104833"/>
    <n v="601"/>
    <x v="311"/>
    <s v="Healthcare"/>
    <s v="Retail"/>
    <x v="1"/>
    <x v="7"/>
    <x v="65"/>
    <n v="81.7"/>
    <n v="34250"/>
    <n v="2025"/>
    <x v="10"/>
    <x v="311"/>
  </r>
  <r>
    <d v="2025-11-09T00:00:00"/>
    <x v="3"/>
    <x v="1"/>
    <n v="130687"/>
    <n v="77593"/>
    <n v="710"/>
    <x v="312"/>
    <s v="Electronics"/>
    <s v="Distributor"/>
    <x v="2"/>
    <x v="1"/>
    <x v="96"/>
    <n v="79.599999999999994"/>
    <n v="53356"/>
    <n v="2025"/>
    <x v="10"/>
    <x v="312"/>
  </r>
  <r>
    <d v="2025-11-10T00:00:00"/>
    <x v="1"/>
    <x v="0"/>
    <n v="244336"/>
    <n v="126581"/>
    <n v="1015"/>
    <x v="313"/>
    <s v="Electronics"/>
    <s v="Distributor"/>
    <x v="2"/>
    <x v="6"/>
    <x v="12"/>
    <n v="78.099999999999994"/>
    <n v="126403"/>
    <n v="2025"/>
    <x v="10"/>
    <x v="313"/>
  </r>
  <r>
    <d v="2025-11-11T00:00:00"/>
    <x v="0"/>
    <x v="1"/>
    <n v="208947"/>
    <n v="111073"/>
    <n v="1429"/>
    <x v="314"/>
    <s v="Furniture"/>
    <s v="Retail"/>
    <x v="0"/>
    <x v="6"/>
    <x v="103"/>
    <n v="92.2"/>
    <n v="90390"/>
    <n v="2025"/>
    <x v="10"/>
    <x v="314"/>
  </r>
  <r>
    <d v="2025-11-12T00:00:00"/>
    <x v="3"/>
    <x v="4"/>
    <n v="205713"/>
    <n v="52310"/>
    <n v="772"/>
    <x v="315"/>
    <s v="Healthcare"/>
    <s v="Distributor"/>
    <x v="4"/>
    <x v="6"/>
    <x v="46"/>
    <n v="92"/>
    <n v="160194"/>
    <n v="2025"/>
    <x v="10"/>
    <x v="315"/>
  </r>
  <r>
    <d v="2025-11-13T00:00:00"/>
    <x v="0"/>
    <x v="2"/>
    <n v="267825"/>
    <n v="145765"/>
    <n v="626"/>
    <x v="316"/>
    <s v="Apparel"/>
    <s v="Online"/>
    <x v="1"/>
    <x v="6"/>
    <x v="47"/>
    <n v="93.8"/>
    <n v="118138"/>
    <n v="2025"/>
    <x v="10"/>
    <x v="316"/>
  </r>
  <r>
    <d v="2025-11-14T00:00:00"/>
    <x v="1"/>
    <x v="1"/>
    <n v="245082"/>
    <n v="45358"/>
    <n v="1249"/>
    <x v="317"/>
    <s v="Electronics"/>
    <s v="Online"/>
    <x v="3"/>
    <x v="3"/>
    <x v="188"/>
    <n v="98.4"/>
    <n v="212679"/>
    <n v="2025"/>
    <x v="10"/>
    <x v="317"/>
  </r>
  <r>
    <d v="2025-11-15T00:00:00"/>
    <x v="0"/>
    <x v="0"/>
    <n v="246984"/>
    <n v="162460"/>
    <n v="206"/>
    <x v="318"/>
    <s v="Electronics"/>
    <s v="Distributor"/>
    <x v="2"/>
    <x v="6"/>
    <x v="198"/>
    <n v="85.7"/>
    <n v="92115"/>
    <n v="2025"/>
    <x v="10"/>
    <x v="318"/>
  </r>
  <r>
    <d v="2025-11-16T00:00:00"/>
    <x v="1"/>
    <x v="2"/>
    <n v="53211"/>
    <n v="39589"/>
    <n v="1255"/>
    <x v="319"/>
    <s v="Furniture"/>
    <s v="Retail"/>
    <x v="2"/>
    <x v="7"/>
    <x v="34"/>
    <n v="78.400000000000006"/>
    <n v="12784"/>
    <n v="2025"/>
    <x v="10"/>
    <x v="319"/>
  </r>
  <r>
    <d v="2025-11-17T00:00:00"/>
    <x v="2"/>
    <x v="3"/>
    <n v="115684"/>
    <n v="56289"/>
    <n v="1247"/>
    <x v="320"/>
    <s v="Food"/>
    <s v="Retail"/>
    <x v="0"/>
    <x v="6"/>
    <x v="199"/>
    <n v="85.9"/>
    <n v="62468"/>
    <n v="2025"/>
    <x v="10"/>
    <x v="320"/>
  </r>
  <r>
    <d v="2025-11-18T00:00:00"/>
    <x v="3"/>
    <x v="5"/>
    <n v="224312"/>
    <n v="42300"/>
    <n v="1356"/>
    <x v="321"/>
    <s v="Healthcare"/>
    <s v="Retail"/>
    <x v="2"/>
    <x v="5"/>
    <x v="61"/>
    <n v="80.8"/>
    <n v="178806"/>
    <n v="2025"/>
    <x v="10"/>
    <x v="321"/>
  </r>
  <r>
    <d v="2025-11-19T00:00:00"/>
    <x v="3"/>
    <x v="5"/>
    <n v="141977"/>
    <n v="80980"/>
    <n v="1262"/>
    <x v="322"/>
    <s v="Electronics"/>
    <s v="Retail"/>
    <x v="2"/>
    <x v="6"/>
    <x v="129"/>
    <n v="75.7"/>
    <n v="61927"/>
    <n v="2025"/>
    <x v="10"/>
    <x v="322"/>
  </r>
  <r>
    <d v="2025-11-20T00:00:00"/>
    <x v="3"/>
    <x v="3"/>
    <n v="182530"/>
    <n v="140390"/>
    <n v="976"/>
    <x v="323"/>
    <s v="Food"/>
    <s v="Retail"/>
    <x v="0"/>
    <x v="9"/>
    <x v="40"/>
    <n v="91.5"/>
    <n v="39045"/>
    <n v="2025"/>
    <x v="10"/>
    <x v="323"/>
  </r>
  <r>
    <d v="2025-11-21T00:00:00"/>
    <x v="3"/>
    <x v="1"/>
    <n v="158730"/>
    <n v="101018"/>
    <n v="1395"/>
    <x v="324"/>
    <s v="Furniture"/>
    <s v="Distributor"/>
    <x v="3"/>
    <x v="7"/>
    <x v="200"/>
    <n v="82.1"/>
    <n v="53690"/>
    <n v="2025"/>
    <x v="10"/>
    <x v="324"/>
  </r>
  <r>
    <d v="2025-11-22T00:00:00"/>
    <x v="1"/>
    <x v="5"/>
    <n v="105820"/>
    <n v="59747"/>
    <n v="760"/>
    <x v="325"/>
    <s v="Electronics"/>
    <s v="Retail"/>
    <x v="4"/>
    <x v="3"/>
    <x v="68"/>
    <n v="87.5"/>
    <n v="43745"/>
    <n v="2025"/>
    <x v="10"/>
    <x v="325"/>
  </r>
  <r>
    <d v="2025-11-23T00:00:00"/>
    <x v="2"/>
    <x v="0"/>
    <n v="216482"/>
    <n v="127542"/>
    <n v="347"/>
    <x v="326"/>
    <s v="Food"/>
    <s v="Retail"/>
    <x v="2"/>
    <x v="3"/>
    <x v="55"/>
    <n v="81"/>
    <n v="81714"/>
    <n v="2025"/>
    <x v="10"/>
    <x v="326"/>
  </r>
  <r>
    <d v="2025-11-24T00:00:00"/>
    <x v="0"/>
    <x v="0"/>
    <n v="278350"/>
    <n v="81696"/>
    <n v="1348"/>
    <x v="327"/>
    <s v="Furniture"/>
    <s v="Distributor"/>
    <x v="4"/>
    <x v="4"/>
    <x v="84"/>
    <n v="90.9"/>
    <n v="180728"/>
    <n v="2025"/>
    <x v="10"/>
    <x v="327"/>
  </r>
  <r>
    <d v="2025-11-25T00:00:00"/>
    <x v="2"/>
    <x v="0"/>
    <n v="185236"/>
    <n v="61128"/>
    <n v="484"/>
    <x v="328"/>
    <s v="Apparel"/>
    <s v="Distributor"/>
    <x v="0"/>
    <x v="0"/>
    <x v="76"/>
    <n v="98.3"/>
    <n v="121456"/>
    <n v="2025"/>
    <x v="10"/>
    <x v="328"/>
  </r>
  <r>
    <d v="2025-11-26T00:00:00"/>
    <x v="0"/>
    <x v="3"/>
    <n v="149665"/>
    <n v="71768"/>
    <n v="1115"/>
    <x v="329"/>
    <s v="Healthcare"/>
    <s v="Online"/>
    <x v="0"/>
    <x v="6"/>
    <x v="113"/>
    <n v="91"/>
    <n v="77890"/>
    <n v="2025"/>
    <x v="10"/>
    <x v="329"/>
  </r>
  <r>
    <d v="2025-11-27T00:00:00"/>
    <x v="1"/>
    <x v="1"/>
    <n v="176161"/>
    <n v="108746"/>
    <n v="1464"/>
    <x v="330"/>
    <s v="Electronics"/>
    <s v="Retail"/>
    <x v="2"/>
    <x v="0"/>
    <x v="201"/>
    <n v="80"/>
    <n v="72902"/>
    <n v="2025"/>
    <x v="10"/>
    <x v="330"/>
  </r>
  <r>
    <d v="2025-11-28T00:00:00"/>
    <x v="2"/>
    <x v="5"/>
    <n v="238720"/>
    <n v="56803"/>
    <n v="277"/>
    <x v="331"/>
    <s v="Furniture"/>
    <s v="Online"/>
    <x v="2"/>
    <x v="6"/>
    <x v="132"/>
    <n v="77.8"/>
    <n v="164601"/>
    <n v="2025"/>
    <x v="10"/>
    <x v="331"/>
  </r>
  <r>
    <d v="2025-11-29T00:00:00"/>
    <x v="1"/>
    <x v="4"/>
    <n v="237706"/>
    <n v="59161"/>
    <n v="1244"/>
    <x v="332"/>
    <s v="Apparel"/>
    <s v="Online"/>
    <x v="3"/>
    <x v="1"/>
    <x v="4"/>
    <n v="86.5"/>
    <n v="168403"/>
    <n v="2025"/>
    <x v="10"/>
    <x v="332"/>
  </r>
  <r>
    <d v="2025-11-30T00:00:00"/>
    <x v="3"/>
    <x v="1"/>
    <n v="129770"/>
    <n v="81744"/>
    <n v="1480"/>
    <x v="333"/>
    <s v="Electronics"/>
    <s v="Online"/>
    <x v="1"/>
    <x v="2"/>
    <x v="202"/>
    <n v="78.7"/>
    <n v="45525"/>
    <n v="2025"/>
    <x v="10"/>
    <x v="333"/>
  </r>
  <r>
    <d v="2025-12-01T00:00:00"/>
    <x v="2"/>
    <x v="5"/>
    <n v="112166"/>
    <n v="77229"/>
    <n v="1270"/>
    <x v="334"/>
    <s v="Electronics"/>
    <s v="Distributor"/>
    <x v="2"/>
    <x v="3"/>
    <x v="126"/>
    <n v="76.400000000000006"/>
    <n v="35859"/>
    <n v="2025"/>
    <x v="11"/>
    <x v="334"/>
  </r>
  <r>
    <d v="2025-12-02T00:00:00"/>
    <x v="0"/>
    <x v="0"/>
    <n v="125966"/>
    <n v="84275"/>
    <n v="885"/>
    <x v="335"/>
    <s v="Healthcare"/>
    <s v="Online"/>
    <x v="3"/>
    <x v="6"/>
    <x v="80"/>
    <n v="95.6"/>
    <n v="40650"/>
    <n v="2025"/>
    <x v="11"/>
    <x v="335"/>
  </r>
  <r>
    <d v="2025-12-03T00:00:00"/>
    <x v="3"/>
    <x v="2"/>
    <n v="259501"/>
    <n v="198690"/>
    <n v="412"/>
    <x v="336"/>
    <s v="Furniture"/>
    <s v="Distributor"/>
    <x v="1"/>
    <x v="3"/>
    <x v="0"/>
    <n v="81.3"/>
    <n v="60479"/>
    <n v="2025"/>
    <x v="11"/>
    <x v="336"/>
  </r>
  <r>
    <d v="2025-12-04T00:00:00"/>
    <x v="3"/>
    <x v="3"/>
    <n v="68201"/>
    <n v="34144"/>
    <n v="1286"/>
    <x v="337"/>
    <s v="Apparel"/>
    <s v="Distributor"/>
    <x v="3"/>
    <x v="9"/>
    <x v="192"/>
    <n v="94.4"/>
    <n v="35543"/>
    <n v="2025"/>
    <x v="11"/>
    <x v="337"/>
  </r>
  <r>
    <d v="2025-12-05T00:00:00"/>
    <x v="3"/>
    <x v="4"/>
    <n v="277524"/>
    <n v="72899"/>
    <n v="1134"/>
    <x v="338"/>
    <s v="Furniture"/>
    <s v="Retail"/>
    <x v="3"/>
    <x v="1"/>
    <x v="149"/>
    <n v="86"/>
    <n v="212517"/>
    <n v="2025"/>
    <x v="11"/>
    <x v="338"/>
  </r>
  <r>
    <d v="2025-12-06T00:00:00"/>
    <x v="2"/>
    <x v="1"/>
    <n v="256848"/>
    <n v="52976"/>
    <n v="793"/>
    <x v="339"/>
    <s v="Healthcare"/>
    <s v="Distributor"/>
    <x v="0"/>
    <x v="9"/>
    <x v="103"/>
    <n v="96.9"/>
    <n v="211734"/>
    <n v="2025"/>
    <x v="11"/>
    <x v="339"/>
  </r>
  <r>
    <d v="2025-12-07T00:00:00"/>
    <x v="3"/>
    <x v="1"/>
    <n v="280540"/>
    <n v="211002"/>
    <n v="526"/>
    <x v="340"/>
    <s v="Healthcare"/>
    <s v="Online"/>
    <x v="2"/>
    <x v="6"/>
    <x v="203"/>
    <n v="78"/>
    <n v="63635"/>
    <n v="2025"/>
    <x v="11"/>
    <x v="340"/>
  </r>
  <r>
    <d v="2025-12-08T00:00:00"/>
    <x v="2"/>
    <x v="0"/>
    <n v="107287"/>
    <n v="34848"/>
    <n v="271"/>
    <x v="341"/>
    <s v="Furniture"/>
    <s v="Distributor"/>
    <x v="4"/>
    <x v="2"/>
    <x v="110"/>
    <n v="79.7"/>
    <n v="69283"/>
    <n v="2025"/>
    <x v="11"/>
    <x v="341"/>
  </r>
  <r>
    <d v="2025-12-09T00:00:00"/>
    <x v="1"/>
    <x v="4"/>
    <n v="85457"/>
    <n v="64555"/>
    <n v="524"/>
    <x v="342"/>
    <s v="Furniture"/>
    <s v="Online"/>
    <x v="0"/>
    <x v="5"/>
    <x v="204"/>
    <n v="77.400000000000006"/>
    <n v="20698"/>
    <n v="2025"/>
    <x v="11"/>
    <x v="342"/>
  </r>
  <r>
    <d v="2025-12-10T00:00:00"/>
    <x v="3"/>
    <x v="4"/>
    <n v="72149"/>
    <n v="35967"/>
    <n v="603"/>
    <x v="343"/>
    <s v="Electronics"/>
    <s v="Online"/>
    <x v="2"/>
    <x v="3"/>
    <x v="166"/>
    <n v="93.5"/>
    <n v="37288"/>
    <n v="2025"/>
    <x v="11"/>
    <x v="343"/>
  </r>
  <r>
    <d v="2025-12-11T00:00:00"/>
    <x v="3"/>
    <x v="1"/>
    <n v="164577"/>
    <n v="124008"/>
    <n v="1353"/>
    <x v="344"/>
    <s v="Furniture"/>
    <s v="Online"/>
    <x v="1"/>
    <x v="6"/>
    <x v="15"/>
    <n v="75.7"/>
    <n v="44582"/>
    <n v="2025"/>
    <x v="11"/>
    <x v="344"/>
  </r>
  <r>
    <d v="2025-12-12T00:00:00"/>
    <x v="0"/>
    <x v="4"/>
    <n v="220615"/>
    <n v="74048"/>
    <n v="475"/>
    <x v="345"/>
    <s v="Electronics"/>
    <s v="Distributor"/>
    <x v="0"/>
    <x v="5"/>
    <x v="50"/>
    <n v="81.099999999999994"/>
    <n v="132670"/>
    <n v="2025"/>
    <x v="11"/>
    <x v="345"/>
  </r>
  <r>
    <d v="2025-12-13T00:00:00"/>
    <x v="2"/>
    <x v="3"/>
    <n v="191572"/>
    <n v="51125"/>
    <n v="1476"/>
    <x v="346"/>
    <s v="Healthcare"/>
    <s v="Distributor"/>
    <x v="1"/>
    <x v="0"/>
    <x v="65"/>
    <n v="92.5"/>
    <n v="141765"/>
    <n v="2025"/>
    <x v="11"/>
    <x v="346"/>
  </r>
  <r>
    <d v="2025-12-14T00:00:00"/>
    <x v="0"/>
    <x v="2"/>
    <n v="210379"/>
    <n v="53963"/>
    <n v="840"/>
    <x v="347"/>
    <s v="Electronics"/>
    <s v="Retail"/>
    <x v="3"/>
    <x v="1"/>
    <x v="14"/>
    <n v="80"/>
    <n v="166479"/>
    <n v="2025"/>
    <x v="11"/>
    <x v="347"/>
  </r>
  <r>
    <d v="2025-12-15T00:00:00"/>
    <x v="3"/>
    <x v="5"/>
    <n v="266565"/>
    <n v="93007"/>
    <n v="742"/>
    <x v="348"/>
    <s v="Furniture"/>
    <s v="Retail"/>
    <x v="4"/>
    <x v="6"/>
    <x v="205"/>
    <n v="80.8"/>
    <n v="185970"/>
    <n v="2025"/>
    <x v="11"/>
    <x v="348"/>
  </r>
  <r>
    <d v="2025-12-16T00:00:00"/>
    <x v="1"/>
    <x v="3"/>
    <n v="80769"/>
    <n v="30613"/>
    <n v="1320"/>
    <x v="349"/>
    <s v="Food"/>
    <s v="Retail"/>
    <x v="3"/>
    <x v="1"/>
    <x v="72"/>
    <n v="75.900000000000006"/>
    <n v="46991"/>
    <n v="2025"/>
    <x v="11"/>
    <x v="349"/>
  </r>
  <r>
    <d v="2025-12-17T00:00:00"/>
    <x v="0"/>
    <x v="1"/>
    <n v="102341"/>
    <n v="66842"/>
    <n v="1326"/>
    <x v="350"/>
    <s v="Apparel"/>
    <s v="Retail"/>
    <x v="1"/>
    <x v="5"/>
    <x v="77"/>
    <n v="95.4"/>
    <n v="37330"/>
    <n v="2025"/>
    <x v="11"/>
    <x v="350"/>
  </r>
  <r>
    <d v="2025-12-18T00:00:00"/>
    <x v="2"/>
    <x v="5"/>
    <n v="163845"/>
    <n v="69571"/>
    <n v="1450"/>
    <x v="351"/>
    <s v="Electronics"/>
    <s v="Online"/>
    <x v="0"/>
    <x v="7"/>
    <x v="58"/>
    <n v="78.5"/>
    <n v="91786"/>
    <n v="2025"/>
    <x v="11"/>
    <x v="351"/>
  </r>
  <r>
    <d v="2025-12-19T00:00:00"/>
    <x v="0"/>
    <x v="0"/>
    <n v="132592"/>
    <n v="62992"/>
    <n v="1235"/>
    <x v="352"/>
    <s v="Furniture"/>
    <s v="Distributor"/>
    <x v="3"/>
    <x v="3"/>
    <x v="29"/>
    <n v="82.4"/>
    <n v="71464"/>
    <n v="2025"/>
    <x v="11"/>
    <x v="352"/>
  </r>
  <r>
    <d v="2025-12-20T00:00:00"/>
    <x v="0"/>
    <x v="2"/>
    <n v="175501"/>
    <n v="86026"/>
    <n v="1467"/>
    <x v="353"/>
    <s v="Apparel"/>
    <s v="Retail"/>
    <x v="1"/>
    <x v="0"/>
    <x v="30"/>
    <n v="98.4"/>
    <n v="96077"/>
    <n v="2025"/>
    <x v="11"/>
    <x v="353"/>
  </r>
  <r>
    <d v="2025-12-21T00:00:00"/>
    <x v="3"/>
    <x v="3"/>
    <n v="122541"/>
    <n v="69339"/>
    <n v="779"/>
    <x v="354"/>
    <s v="Healthcare"/>
    <s v="Retail"/>
    <x v="0"/>
    <x v="1"/>
    <x v="187"/>
    <n v="91.9"/>
    <n v="49012"/>
    <n v="2025"/>
    <x v="11"/>
    <x v="354"/>
  </r>
  <r>
    <d v="2025-12-22T00:00:00"/>
    <x v="3"/>
    <x v="3"/>
    <n v="126479"/>
    <n v="42835"/>
    <n v="1263"/>
    <x v="355"/>
    <s v="Electronics"/>
    <s v="Retail"/>
    <x v="4"/>
    <x v="3"/>
    <x v="182"/>
    <n v="88.3"/>
    <n v="86746"/>
    <n v="2025"/>
    <x v="11"/>
    <x v="355"/>
  </r>
  <r>
    <d v="2025-12-23T00:00:00"/>
    <x v="2"/>
    <x v="2"/>
    <n v="60262"/>
    <n v="34242"/>
    <n v="1122"/>
    <x v="356"/>
    <s v="Healthcare"/>
    <s v="Online"/>
    <x v="3"/>
    <x v="6"/>
    <x v="40"/>
    <n v="90"/>
    <n v="26373"/>
    <n v="2025"/>
    <x v="11"/>
    <x v="356"/>
  </r>
  <r>
    <d v="2025-12-24T00:00:00"/>
    <x v="3"/>
    <x v="4"/>
    <n v="111488"/>
    <n v="54163"/>
    <n v="683"/>
    <x v="357"/>
    <s v="Food"/>
    <s v="Distributor"/>
    <x v="4"/>
    <x v="9"/>
    <x v="168"/>
    <n v="87.1"/>
    <n v="54696"/>
    <n v="2025"/>
    <x v="11"/>
    <x v="357"/>
  </r>
  <r>
    <d v="2025-12-25T00:00:00"/>
    <x v="0"/>
    <x v="2"/>
    <n v="109220"/>
    <n v="35896"/>
    <n v="1042"/>
    <x v="358"/>
    <s v="Healthcare"/>
    <s v="Online"/>
    <x v="1"/>
    <x v="9"/>
    <x v="206"/>
    <n v="95.2"/>
    <n v="72640"/>
    <n v="2025"/>
    <x v="11"/>
    <x v="358"/>
  </r>
  <r>
    <d v="2025-12-26T00:00:00"/>
    <x v="1"/>
    <x v="1"/>
    <n v="253825"/>
    <n v="126005"/>
    <n v="991"/>
    <x v="359"/>
    <s v="Electronics"/>
    <s v="Retail"/>
    <x v="2"/>
    <x v="5"/>
    <x v="207"/>
    <n v="82.4"/>
    <n v="133024"/>
    <n v="2025"/>
    <x v="11"/>
    <x v="359"/>
  </r>
  <r>
    <d v="2025-12-27T00:00:00"/>
    <x v="1"/>
    <x v="4"/>
    <n v="134994"/>
    <n v="87589"/>
    <n v="807"/>
    <x v="360"/>
    <s v="Healthcare"/>
    <s v="Retail"/>
    <x v="0"/>
    <x v="4"/>
    <x v="198"/>
    <n v="97.8"/>
    <n v="49924"/>
    <n v="2025"/>
    <x v="11"/>
    <x v="360"/>
  </r>
  <r>
    <d v="2025-12-28T00:00:00"/>
    <x v="3"/>
    <x v="4"/>
    <n v="169299"/>
    <n v="132520"/>
    <n v="1239"/>
    <x v="361"/>
    <s v="Healthcare"/>
    <s v="Retail"/>
    <x v="2"/>
    <x v="5"/>
    <x v="208"/>
    <n v="84.4"/>
    <n v="40362"/>
    <n v="2025"/>
    <x v="11"/>
    <x v="361"/>
  </r>
  <r>
    <d v="2025-12-29T00:00:00"/>
    <x v="0"/>
    <x v="4"/>
    <n v="146160"/>
    <n v="38064"/>
    <n v="980"/>
    <x v="362"/>
    <s v="Furniture"/>
    <s v="Distributor"/>
    <x v="1"/>
    <x v="3"/>
    <x v="209"/>
    <n v="98.8"/>
    <n v="110202"/>
    <n v="2025"/>
    <x v="11"/>
    <x v="362"/>
  </r>
  <r>
    <d v="2025-12-30T00:00:00"/>
    <x v="1"/>
    <x v="1"/>
    <n v="289716"/>
    <n v="112185"/>
    <n v="881"/>
    <x v="363"/>
    <s v="Furniture"/>
    <s v="Online"/>
    <x v="4"/>
    <x v="7"/>
    <x v="12"/>
    <n v="88.8"/>
    <n v="168334"/>
    <n v="2025"/>
    <x v="11"/>
    <x v="363"/>
  </r>
  <r>
    <d v="2025-12-31T00:00:00"/>
    <x v="0"/>
    <x v="1"/>
    <n v="55993"/>
    <n v="36693"/>
    <n v="995"/>
    <x v="364"/>
    <s v="Electronics"/>
    <s v="Online"/>
    <x v="3"/>
    <x v="6"/>
    <x v="143"/>
    <n v="76.8"/>
    <n v="18481"/>
    <n v="2025"/>
    <x v="11"/>
    <x v="364"/>
  </r>
  <r>
    <d v="2026-01-01T00:00:00"/>
    <x v="1"/>
    <x v="2"/>
    <n v="294569"/>
    <n v="117833"/>
    <n v="456"/>
    <x v="365"/>
    <s v="Healthcare"/>
    <s v="Distributor"/>
    <x v="2"/>
    <x v="6"/>
    <x v="210"/>
    <n v="84.4"/>
    <n v="185798"/>
    <n v="2026"/>
    <x v="0"/>
    <x v="365"/>
  </r>
  <r>
    <d v="2026-01-02T00:00:00"/>
    <x v="0"/>
    <x v="1"/>
    <n v="66393"/>
    <n v="40541"/>
    <n v="712"/>
    <x v="366"/>
    <s v="Food"/>
    <s v="Retail"/>
    <x v="3"/>
    <x v="0"/>
    <x v="18"/>
    <n v="88.6"/>
    <n v="23424"/>
    <n v="2026"/>
    <x v="0"/>
    <x v="366"/>
  </r>
  <r>
    <d v="2026-01-03T00:00:00"/>
    <x v="2"/>
    <x v="2"/>
    <n v="71846"/>
    <n v="38363"/>
    <n v="634"/>
    <x v="367"/>
    <s v="Apparel"/>
    <s v="Online"/>
    <x v="3"/>
    <x v="3"/>
    <x v="211"/>
    <n v="96.9"/>
    <n v="34794"/>
    <n v="2026"/>
    <x v="0"/>
    <x v="367"/>
  </r>
  <r>
    <d v="2026-01-04T00:00:00"/>
    <x v="0"/>
    <x v="3"/>
    <n v="254992"/>
    <n v="52041"/>
    <n v="598"/>
    <x v="368"/>
    <s v="Healthcare"/>
    <s v="Retail"/>
    <x v="2"/>
    <x v="5"/>
    <x v="169"/>
    <n v="94.9"/>
    <n v="194525"/>
    <n v="2026"/>
    <x v="0"/>
    <x v="368"/>
  </r>
  <r>
    <d v="2026-01-05T00:00:00"/>
    <x v="0"/>
    <x v="3"/>
    <n v="66602"/>
    <n v="48132"/>
    <n v="608"/>
    <x v="369"/>
    <s v="Electronics"/>
    <s v="Online"/>
    <x v="2"/>
    <x v="7"/>
    <x v="212"/>
    <n v="90.4"/>
    <n v="20198"/>
    <n v="2026"/>
    <x v="0"/>
    <x v="369"/>
  </r>
  <r>
    <d v="2026-01-06T00:00:00"/>
    <x v="2"/>
    <x v="2"/>
    <n v="137411"/>
    <n v="59655"/>
    <n v="1432"/>
    <x v="370"/>
    <s v="Furniture"/>
    <s v="Distributor"/>
    <x v="4"/>
    <x v="6"/>
    <x v="92"/>
    <n v="93.3"/>
    <n v="71593"/>
    <n v="2026"/>
    <x v="0"/>
    <x v="370"/>
  </r>
  <r>
    <d v="2026-01-07T00:00:00"/>
    <x v="0"/>
    <x v="5"/>
    <n v="59198"/>
    <n v="38072"/>
    <n v="558"/>
    <x v="371"/>
    <s v="Apparel"/>
    <s v="Online"/>
    <x v="1"/>
    <x v="6"/>
    <x v="177"/>
    <n v="93.3"/>
    <n v="22960"/>
    <n v="2026"/>
    <x v="0"/>
    <x v="371"/>
  </r>
  <r>
    <d v="2026-01-08T00:00:00"/>
    <x v="2"/>
    <x v="0"/>
    <n v="218942"/>
    <n v="49503"/>
    <n v="890"/>
    <x v="372"/>
    <s v="Electronics"/>
    <s v="Distributor"/>
    <x v="3"/>
    <x v="0"/>
    <x v="89"/>
    <n v="90.2"/>
    <n v="165589"/>
    <n v="2026"/>
    <x v="0"/>
    <x v="372"/>
  </r>
  <r>
    <d v="2026-01-09T00:00:00"/>
    <x v="0"/>
    <x v="0"/>
    <n v="109565"/>
    <n v="74275"/>
    <n v="519"/>
    <x v="373"/>
    <s v="Apparel"/>
    <s v="Distributor"/>
    <x v="3"/>
    <x v="6"/>
    <x v="213"/>
    <n v="87.5"/>
    <n v="37045"/>
    <n v="2026"/>
    <x v="0"/>
    <x v="373"/>
  </r>
  <r>
    <d v="2026-01-10T00:00:00"/>
    <x v="0"/>
    <x v="5"/>
    <n v="198909"/>
    <n v="157313"/>
    <n v="375"/>
    <x v="374"/>
    <s v="Healthcare"/>
    <s v="Online"/>
    <x v="0"/>
    <x v="3"/>
    <x v="212"/>
    <n v="91.3"/>
    <n v="43862"/>
    <n v="2026"/>
    <x v="0"/>
    <x v="374"/>
  </r>
  <r>
    <d v="2026-01-11T00:00:00"/>
    <x v="2"/>
    <x v="3"/>
    <n v="208883"/>
    <n v="105496"/>
    <n v="612"/>
    <x v="375"/>
    <s v="Healthcare"/>
    <s v="Online"/>
    <x v="2"/>
    <x v="4"/>
    <x v="143"/>
    <n v="77.2"/>
    <n v="93674"/>
    <n v="2026"/>
    <x v="0"/>
    <x v="375"/>
  </r>
  <r>
    <d v="2026-01-12T00:00:00"/>
    <x v="2"/>
    <x v="3"/>
    <n v="262058"/>
    <n v="188280"/>
    <n v="227"/>
    <x v="376"/>
    <s v="Electronics"/>
    <s v="Online"/>
    <x v="3"/>
    <x v="6"/>
    <x v="214"/>
    <n v="78.900000000000006"/>
    <n v="71321"/>
    <n v="2026"/>
    <x v="0"/>
    <x v="376"/>
  </r>
  <r>
    <d v="2026-01-13T00:00:00"/>
    <x v="2"/>
    <x v="1"/>
    <n v="141074"/>
    <n v="75342"/>
    <n v="684"/>
    <x v="377"/>
    <s v="Electronics"/>
    <s v="Retail"/>
    <x v="0"/>
    <x v="3"/>
    <x v="215"/>
    <n v="87.8"/>
    <n v="65807"/>
    <n v="2026"/>
    <x v="0"/>
    <x v="377"/>
  </r>
  <r>
    <d v="2026-01-14T00:00:00"/>
    <x v="1"/>
    <x v="4"/>
    <n v="75050"/>
    <n v="52163"/>
    <n v="353"/>
    <x v="378"/>
    <s v="Apparel"/>
    <s v="Distributor"/>
    <x v="2"/>
    <x v="6"/>
    <x v="150"/>
    <n v="86.4"/>
    <n v="23932"/>
    <n v="2026"/>
    <x v="0"/>
    <x v="378"/>
  </r>
  <r>
    <d v="2026-01-15T00:00:00"/>
    <x v="0"/>
    <x v="5"/>
    <n v="169534"/>
    <n v="59166"/>
    <n v="269"/>
    <x v="379"/>
    <s v="Healthcare"/>
    <s v="Distributor"/>
    <x v="1"/>
    <x v="3"/>
    <x v="41"/>
    <n v="86.2"/>
    <n v="110537"/>
    <n v="2026"/>
    <x v="0"/>
    <x v="379"/>
  </r>
  <r>
    <d v="2026-01-16T00:00:00"/>
    <x v="1"/>
    <x v="5"/>
    <n v="235005"/>
    <n v="40575"/>
    <n v="997"/>
    <x v="380"/>
    <s v="Electronics"/>
    <s v="Online"/>
    <x v="2"/>
    <x v="5"/>
    <x v="101"/>
    <n v="91.8"/>
    <n v="180686"/>
    <n v="2026"/>
    <x v="0"/>
    <x v="380"/>
  </r>
  <r>
    <d v="2026-01-17T00:00:00"/>
    <x v="3"/>
    <x v="1"/>
    <n v="237179"/>
    <n v="97451"/>
    <n v="774"/>
    <x v="381"/>
    <s v="Food"/>
    <s v="Online"/>
    <x v="1"/>
    <x v="0"/>
    <x v="110"/>
    <n v="76.2"/>
    <n v="146956"/>
    <n v="2026"/>
    <x v="0"/>
    <x v="381"/>
  </r>
  <r>
    <d v="2026-01-18T00:00:00"/>
    <x v="0"/>
    <x v="2"/>
    <n v="121009"/>
    <n v="82132"/>
    <n v="1297"/>
    <x v="382"/>
    <s v="Food"/>
    <s v="Retail"/>
    <x v="3"/>
    <x v="5"/>
    <x v="7"/>
    <n v="78.2"/>
    <n v="40743"/>
    <n v="2026"/>
    <x v="0"/>
    <x v="382"/>
  </r>
  <r>
    <d v="2026-01-19T00:00:00"/>
    <x v="0"/>
    <x v="4"/>
    <n v="61346"/>
    <n v="33588"/>
    <n v="210"/>
    <x v="383"/>
    <s v="Food"/>
    <s v="Retail"/>
    <x v="1"/>
    <x v="6"/>
    <x v="50"/>
    <n v="91.2"/>
    <n v="29580"/>
    <n v="2026"/>
    <x v="0"/>
    <x v="383"/>
  </r>
  <r>
    <d v="2026-01-20T00:00:00"/>
    <x v="3"/>
    <x v="2"/>
    <n v="105189"/>
    <n v="75878"/>
    <n v="543"/>
    <x v="384"/>
    <s v="Apparel"/>
    <s v="Retail"/>
    <x v="2"/>
    <x v="3"/>
    <x v="82"/>
    <n v="98.2"/>
    <n v="28257"/>
    <n v="2026"/>
    <x v="0"/>
    <x v="384"/>
  </r>
  <r>
    <d v="2026-01-21T00:00:00"/>
    <x v="0"/>
    <x v="2"/>
    <n v="267811"/>
    <n v="95297"/>
    <n v="1135"/>
    <x v="385"/>
    <s v="Food"/>
    <s v="Retail"/>
    <x v="4"/>
    <x v="4"/>
    <x v="216"/>
    <n v="86.1"/>
    <n v="161281"/>
    <n v="2026"/>
    <x v="0"/>
    <x v="385"/>
  </r>
  <r>
    <d v="2026-01-22T00:00:00"/>
    <x v="2"/>
    <x v="4"/>
    <n v="82508"/>
    <n v="45374"/>
    <n v="635"/>
    <x v="386"/>
    <s v="Healthcare"/>
    <s v="Retail"/>
    <x v="4"/>
    <x v="5"/>
    <x v="48"/>
    <n v="83"/>
    <n v="36217"/>
    <n v="2026"/>
    <x v="0"/>
    <x v="386"/>
  </r>
  <r>
    <d v="2026-01-23T00:00:00"/>
    <x v="3"/>
    <x v="0"/>
    <n v="90655"/>
    <n v="47387"/>
    <n v="1263"/>
    <x v="387"/>
    <s v="Healthcare"/>
    <s v="Online"/>
    <x v="0"/>
    <x v="3"/>
    <x v="65"/>
    <n v="90.5"/>
    <n v="40418"/>
    <n v="2026"/>
    <x v="0"/>
    <x v="387"/>
  </r>
  <r>
    <d v="2026-01-24T00:00:00"/>
    <x v="2"/>
    <x v="1"/>
    <n v="255192"/>
    <n v="105040"/>
    <n v="958"/>
    <x v="388"/>
    <s v="Apparel"/>
    <s v="Retail"/>
    <x v="1"/>
    <x v="9"/>
    <x v="32"/>
    <n v="76.3"/>
    <n v="137059"/>
    <n v="2026"/>
    <x v="0"/>
    <x v="388"/>
  </r>
  <r>
    <d v="2026-01-25T00:00:00"/>
    <x v="3"/>
    <x v="1"/>
    <n v="154011"/>
    <n v="118492"/>
    <n v="400"/>
    <x v="389"/>
    <s v="Electronics"/>
    <s v="Retail"/>
    <x v="4"/>
    <x v="9"/>
    <x v="97"/>
    <n v="84.7"/>
    <n v="32138"/>
    <n v="2026"/>
    <x v="0"/>
    <x v="389"/>
  </r>
  <r>
    <d v="2026-01-26T00:00:00"/>
    <x v="1"/>
    <x v="1"/>
    <n v="94367"/>
    <n v="38394"/>
    <n v="600"/>
    <x v="390"/>
    <s v="Healthcare"/>
    <s v="Retail"/>
    <x v="0"/>
    <x v="1"/>
    <x v="88"/>
    <n v="91.9"/>
    <n v="61528"/>
    <n v="2026"/>
    <x v="0"/>
    <x v="390"/>
  </r>
  <r>
    <d v="2026-01-27T00:00:00"/>
    <x v="0"/>
    <x v="0"/>
    <n v="214335"/>
    <n v="98018"/>
    <n v="552"/>
    <x v="391"/>
    <s v="Food"/>
    <s v="Distributor"/>
    <x v="0"/>
    <x v="7"/>
    <x v="142"/>
    <n v="79.7"/>
    <n v="127146"/>
    <n v="2026"/>
    <x v="0"/>
    <x v="391"/>
  </r>
  <r>
    <d v="2026-01-28T00:00:00"/>
    <x v="0"/>
    <x v="5"/>
    <n v="243565"/>
    <n v="59625"/>
    <n v="887"/>
    <x v="392"/>
    <s v="Food"/>
    <s v="Distributor"/>
    <x v="2"/>
    <x v="1"/>
    <x v="48"/>
    <n v="95.7"/>
    <n v="174448"/>
    <n v="2026"/>
    <x v="0"/>
    <x v="392"/>
  </r>
  <r>
    <d v="2026-01-29T00:00:00"/>
    <x v="1"/>
    <x v="3"/>
    <n v="108700"/>
    <n v="30344"/>
    <n v="793"/>
    <x v="393"/>
    <s v="Electronics"/>
    <s v="Distributor"/>
    <x v="0"/>
    <x v="7"/>
    <x v="217"/>
    <n v="89"/>
    <n v="75860"/>
    <n v="2026"/>
    <x v="0"/>
    <x v="393"/>
  </r>
  <r>
    <d v="2026-01-30T00:00:00"/>
    <x v="1"/>
    <x v="3"/>
    <n v="268234"/>
    <n v="162139"/>
    <n v="652"/>
    <x v="394"/>
    <s v="Healthcare"/>
    <s v="Retail"/>
    <x v="3"/>
    <x v="2"/>
    <x v="218"/>
    <n v="84.7"/>
    <n v="97635"/>
    <n v="2026"/>
    <x v="0"/>
    <x v="394"/>
  </r>
  <r>
    <d v="2026-01-31T00:00:00"/>
    <x v="2"/>
    <x v="5"/>
    <n v="276317"/>
    <n v="71063"/>
    <n v="272"/>
    <x v="395"/>
    <s v="Electronics"/>
    <s v="Retail"/>
    <x v="0"/>
    <x v="3"/>
    <x v="219"/>
    <n v="85.3"/>
    <n v="185612"/>
    <n v="2026"/>
    <x v="0"/>
    <x v="395"/>
  </r>
  <r>
    <d v="2026-02-01T00:00:00"/>
    <x v="1"/>
    <x v="5"/>
    <n v="233576"/>
    <n v="78237"/>
    <n v="1149"/>
    <x v="396"/>
    <s v="Food"/>
    <s v="Distributor"/>
    <x v="4"/>
    <x v="3"/>
    <x v="202"/>
    <n v="77.099999999999994"/>
    <n v="164073"/>
    <n v="2026"/>
    <x v="1"/>
    <x v="396"/>
  </r>
  <r>
    <d v="2026-02-02T00:00:00"/>
    <x v="2"/>
    <x v="1"/>
    <n v="133457"/>
    <n v="102635"/>
    <n v="921"/>
    <x v="397"/>
    <s v="Furniture"/>
    <s v="Online"/>
    <x v="1"/>
    <x v="6"/>
    <x v="176"/>
    <n v="84.7"/>
    <n v="28814"/>
    <n v="2026"/>
    <x v="1"/>
    <x v="397"/>
  </r>
  <r>
    <d v="2026-02-03T00:00:00"/>
    <x v="1"/>
    <x v="5"/>
    <n v="212066"/>
    <n v="85669"/>
    <n v="554"/>
    <x v="398"/>
    <s v="Furniture"/>
    <s v="Retail"/>
    <x v="3"/>
    <x v="0"/>
    <x v="45"/>
    <n v="77.2"/>
    <n v="131746"/>
    <n v="2026"/>
    <x v="1"/>
    <x v="398"/>
  </r>
  <r>
    <d v="2026-02-04T00:00:00"/>
    <x v="2"/>
    <x v="5"/>
    <n v="112400"/>
    <n v="70562"/>
    <n v="827"/>
    <x v="399"/>
    <s v="Furniture"/>
    <s v="Online"/>
    <x v="2"/>
    <x v="0"/>
    <x v="201"/>
    <n v="96"/>
    <n v="42961"/>
    <n v="2026"/>
    <x v="1"/>
    <x v="399"/>
  </r>
  <r>
    <d v="2026-02-05T00:00:00"/>
    <x v="3"/>
    <x v="0"/>
    <n v="188910"/>
    <n v="65052"/>
    <n v="822"/>
    <x v="400"/>
    <s v="Food"/>
    <s v="Retail"/>
    <x v="3"/>
    <x v="1"/>
    <x v="66"/>
    <n v="75.599999999999994"/>
    <n v="121914"/>
    <n v="2026"/>
    <x v="1"/>
    <x v="400"/>
  </r>
  <r>
    <d v="2026-02-06T00:00:00"/>
    <x v="0"/>
    <x v="5"/>
    <n v="154700"/>
    <n v="101025"/>
    <n v="758"/>
    <x v="401"/>
    <s v="Food"/>
    <s v="Online"/>
    <x v="1"/>
    <x v="2"/>
    <x v="211"/>
    <n v="96.9"/>
    <n v="56887"/>
    <n v="2026"/>
    <x v="1"/>
    <x v="401"/>
  </r>
  <r>
    <d v="2026-02-07T00:00:00"/>
    <x v="2"/>
    <x v="1"/>
    <n v="100983"/>
    <n v="62757"/>
    <n v="986"/>
    <x v="402"/>
    <s v="Furniture"/>
    <s v="Distributor"/>
    <x v="0"/>
    <x v="1"/>
    <x v="22"/>
    <n v="91"/>
    <n v="41087"/>
    <n v="2026"/>
    <x v="1"/>
    <x v="402"/>
  </r>
  <r>
    <d v="2026-02-08T00:00:00"/>
    <x v="2"/>
    <x v="4"/>
    <n v="164523"/>
    <n v="106038"/>
    <n v="914"/>
    <x v="403"/>
    <s v="Furniture"/>
    <s v="Online"/>
    <x v="2"/>
    <x v="7"/>
    <x v="220"/>
    <n v="76.8"/>
    <n v="54427"/>
    <n v="2026"/>
    <x v="1"/>
    <x v="403"/>
  </r>
  <r>
    <d v="2026-02-09T00:00:00"/>
    <x v="0"/>
    <x v="0"/>
    <n v="295347"/>
    <n v="134864"/>
    <n v="784"/>
    <x v="404"/>
    <s v="Food"/>
    <s v="Distributor"/>
    <x v="1"/>
    <x v="1"/>
    <x v="4"/>
    <n v="96.3"/>
    <n v="170256"/>
    <n v="2026"/>
    <x v="1"/>
    <x v="404"/>
  </r>
  <r>
    <d v="2026-02-10T00:00:00"/>
    <x v="2"/>
    <x v="5"/>
    <n v="288453"/>
    <n v="177485"/>
    <n v="1116"/>
    <x v="405"/>
    <s v="Furniture"/>
    <s v="Retail"/>
    <x v="0"/>
    <x v="9"/>
    <x v="187"/>
    <n v="81.5"/>
    <n v="106338"/>
    <n v="2026"/>
    <x v="1"/>
    <x v="405"/>
  </r>
  <r>
    <d v="2026-02-11T00:00:00"/>
    <x v="2"/>
    <x v="1"/>
    <n v="148459"/>
    <n v="107387"/>
    <n v="613"/>
    <x v="406"/>
    <s v="Electronics"/>
    <s v="Distributor"/>
    <x v="2"/>
    <x v="6"/>
    <x v="221"/>
    <n v="94.1"/>
    <n v="40302"/>
    <n v="2026"/>
    <x v="1"/>
    <x v="406"/>
  </r>
  <r>
    <d v="2026-02-12T00:00:00"/>
    <x v="2"/>
    <x v="2"/>
    <n v="188457"/>
    <n v="46305"/>
    <n v="1148"/>
    <x v="407"/>
    <s v="Electronics"/>
    <s v="Retail"/>
    <x v="0"/>
    <x v="3"/>
    <x v="96"/>
    <n v="90.3"/>
    <n v="147605"/>
    <n v="2026"/>
    <x v="1"/>
    <x v="407"/>
  </r>
  <r>
    <d v="2026-02-13T00:00:00"/>
    <x v="1"/>
    <x v="1"/>
    <n v="101599"/>
    <n v="54719"/>
    <n v="594"/>
    <x v="408"/>
    <s v="Apparel"/>
    <s v="Distributor"/>
    <x v="3"/>
    <x v="1"/>
    <x v="222"/>
    <n v="77.900000000000006"/>
    <n v="46012"/>
    <n v="2026"/>
    <x v="1"/>
    <x v="408"/>
  </r>
  <r>
    <d v="2026-02-14T00:00:00"/>
    <x v="0"/>
    <x v="0"/>
    <n v="173806"/>
    <n v="117294"/>
    <n v="1382"/>
    <x v="409"/>
    <s v="Furniture"/>
    <s v="Retail"/>
    <x v="4"/>
    <x v="7"/>
    <x v="140"/>
    <n v="76.599999999999994"/>
    <n v="60352"/>
    <n v="2026"/>
    <x v="1"/>
    <x v="409"/>
  </r>
  <r>
    <d v="2026-02-15T00:00:00"/>
    <x v="1"/>
    <x v="0"/>
    <n v="155040"/>
    <n v="107396"/>
    <n v="623"/>
    <x v="410"/>
    <s v="Healthcare"/>
    <s v="Retail"/>
    <x v="4"/>
    <x v="1"/>
    <x v="127"/>
    <n v="84.5"/>
    <n v="44195"/>
    <n v="2026"/>
    <x v="1"/>
    <x v="410"/>
  </r>
  <r>
    <d v="2026-02-16T00:00:00"/>
    <x v="2"/>
    <x v="2"/>
    <n v="166527"/>
    <n v="69997"/>
    <n v="702"/>
    <x v="411"/>
    <s v="Healthcare"/>
    <s v="Online"/>
    <x v="1"/>
    <x v="6"/>
    <x v="206"/>
    <n v="88.5"/>
    <n v="102615"/>
    <n v="2026"/>
    <x v="1"/>
    <x v="411"/>
  </r>
  <r>
    <d v="2026-02-17T00:00:00"/>
    <x v="0"/>
    <x v="4"/>
    <n v="225198"/>
    <n v="59835"/>
    <n v="739"/>
    <x v="412"/>
    <s v="Electronics"/>
    <s v="Retail"/>
    <x v="3"/>
    <x v="7"/>
    <x v="223"/>
    <n v="87.8"/>
    <n v="165889"/>
    <n v="2026"/>
    <x v="1"/>
    <x v="412"/>
  </r>
  <r>
    <d v="2026-02-18T00:00:00"/>
    <x v="3"/>
    <x v="2"/>
    <n v="212714"/>
    <n v="50078"/>
    <n v="1240"/>
    <x v="413"/>
    <s v="Food"/>
    <s v="Online"/>
    <x v="0"/>
    <x v="6"/>
    <x v="224"/>
    <n v="76.5"/>
    <n v="167502"/>
    <n v="2026"/>
    <x v="1"/>
    <x v="413"/>
  </r>
  <r>
    <d v="2026-02-19T00:00:00"/>
    <x v="3"/>
    <x v="4"/>
    <n v="252451"/>
    <n v="90216"/>
    <n v="794"/>
    <x v="414"/>
    <s v="Furniture"/>
    <s v="Online"/>
    <x v="0"/>
    <x v="6"/>
    <x v="186"/>
    <n v="95.1"/>
    <n v="165179"/>
    <n v="2026"/>
    <x v="1"/>
    <x v="414"/>
  </r>
  <r>
    <d v="2026-02-20T00:00:00"/>
    <x v="3"/>
    <x v="4"/>
    <n v="135348"/>
    <n v="74289"/>
    <n v="1008"/>
    <x v="415"/>
    <s v="Apparel"/>
    <s v="Retail"/>
    <x v="0"/>
    <x v="4"/>
    <x v="88"/>
    <n v="79.099999999999994"/>
    <n v="63938"/>
    <n v="2026"/>
    <x v="1"/>
    <x v="415"/>
  </r>
  <r>
    <d v="2026-02-21T00:00:00"/>
    <x v="0"/>
    <x v="3"/>
    <n v="297549"/>
    <n v="48790"/>
    <n v="968"/>
    <x v="416"/>
    <s v="Food"/>
    <s v="Retail"/>
    <x v="1"/>
    <x v="0"/>
    <x v="225"/>
    <n v="95.6"/>
    <n v="225287"/>
    <n v="2026"/>
    <x v="1"/>
    <x v="416"/>
  </r>
  <r>
    <d v="2026-02-22T00:00:00"/>
    <x v="0"/>
    <x v="1"/>
    <n v="109163"/>
    <n v="80301"/>
    <n v="1378"/>
    <x v="417"/>
    <s v="Electronics"/>
    <s v="Online"/>
    <x v="1"/>
    <x v="9"/>
    <x v="183"/>
    <n v="94.3"/>
    <n v="26964"/>
    <n v="2026"/>
    <x v="1"/>
    <x v="417"/>
  </r>
  <r>
    <d v="2026-02-23T00:00:00"/>
    <x v="2"/>
    <x v="4"/>
    <n v="264822"/>
    <n v="194345"/>
    <n v="342"/>
    <x v="418"/>
    <s v="Food"/>
    <s v="Distributor"/>
    <x v="2"/>
    <x v="1"/>
    <x v="171"/>
    <n v="94.9"/>
    <n v="64714"/>
    <n v="2026"/>
    <x v="1"/>
    <x v="418"/>
  </r>
  <r>
    <d v="2026-02-24T00:00:00"/>
    <x v="1"/>
    <x v="0"/>
    <n v="206846"/>
    <n v="67023"/>
    <n v="1493"/>
    <x v="419"/>
    <s v="Apparel"/>
    <s v="Online"/>
    <x v="1"/>
    <x v="1"/>
    <x v="46"/>
    <n v="79.5"/>
    <n v="127575"/>
    <n v="2026"/>
    <x v="1"/>
    <x v="419"/>
  </r>
  <r>
    <d v="2026-02-25T00:00:00"/>
    <x v="3"/>
    <x v="0"/>
    <n v="168263"/>
    <n v="126626"/>
    <n v="231"/>
    <x v="420"/>
    <s v="Healthcare"/>
    <s v="Distributor"/>
    <x v="1"/>
    <x v="6"/>
    <x v="226"/>
    <n v="80.3"/>
    <n v="45340"/>
    <n v="2026"/>
    <x v="1"/>
    <x v="420"/>
  </r>
  <r>
    <d v="2026-02-26T00:00:00"/>
    <x v="2"/>
    <x v="4"/>
    <n v="288971"/>
    <n v="152924"/>
    <n v="1288"/>
    <x v="421"/>
    <s v="Food"/>
    <s v="Online"/>
    <x v="2"/>
    <x v="6"/>
    <x v="181"/>
    <n v="81.2"/>
    <n v="124246"/>
    <n v="2026"/>
    <x v="1"/>
    <x v="421"/>
  </r>
  <r>
    <d v="2026-02-27T00:00:00"/>
    <x v="3"/>
    <x v="3"/>
    <n v="141968"/>
    <n v="48211"/>
    <n v="1070"/>
    <x v="422"/>
    <s v="Food"/>
    <s v="Distributor"/>
    <x v="4"/>
    <x v="9"/>
    <x v="227"/>
    <n v="96.2"/>
    <n v="85743"/>
    <n v="2026"/>
    <x v="1"/>
    <x v="422"/>
  </r>
  <r>
    <d v="2026-02-28T00:00:00"/>
    <x v="2"/>
    <x v="5"/>
    <n v="96620"/>
    <n v="73376"/>
    <n v="1171"/>
    <x v="423"/>
    <s v="Food"/>
    <s v="Online"/>
    <x v="3"/>
    <x v="6"/>
    <x v="40"/>
    <n v="86.8"/>
    <n v="24891"/>
    <n v="2026"/>
    <x v="1"/>
    <x v="423"/>
  </r>
  <r>
    <d v="2026-03-01T00:00:00"/>
    <x v="3"/>
    <x v="0"/>
    <n v="111450"/>
    <n v="83740"/>
    <n v="725"/>
    <x v="424"/>
    <s v="Food"/>
    <s v="Distributor"/>
    <x v="1"/>
    <x v="7"/>
    <x v="197"/>
    <n v="84.1"/>
    <n v="30266"/>
    <n v="2026"/>
    <x v="2"/>
    <x v="424"/>
  </r>
  <r>
    <d v="2026-03-02T00:00:00"/>
    <x v="0"/>
    <x v="4"/>
    <n v="93213"/>
    <n v="63837"/>
    <n v="351"/>
    <x v="425"/>
    <s v="Furniture"/>
    <s v="Online"/>
    <x v="4"/>
    <x v="5"/>
    <x v="136"/>
    <n v="85"/>
    <n v="29115"/>
    <n v="2026"/>
    <x v="2"/>
    <x v="425"/>
  </r>
  <r>
    <d v="2026-03-03T00:00:00"/>
    <x v="3"/>
    <x v="2"/>
    <n v="186663"/>
    <n v="120352"/>
    <n v="1169"/>
    <x v="426"/>
    <s v="Electronics"/>
    <s v="Retail"/>
    <x v="4"/>
    <x v="5"/>
    <x v="228"/>
    <n v="76"/>
    <n v="63518"/>
    <n v="2026"/>
    <x v="2"/>
    <x v="426"/>
  </r>
  <r>
    <d v="2026-03-04T00:00:00"/>
    <x v="3"/>
    <x v="1"/>
    <n v="165871"/>
    <n v="119366"/>
    <n v="545"/>
    <x v="427"/>
    <s v="Electronics"/>
    <s v="Distributor"/>
    <x v="2"/>
    <x v="1"/>
    <x v="162"/>
    <n v="75.099999999999994"/>
    <n v="47019"/>
    <n v="2026"/>
    <x v="2"/>
    <x v="427"/>
  </r>
  <r>
    <d v="2026-03-05T00:00:00"/>
    <x v="2"/>
    <x v="4"/>
    <n v="65202"/>
    <n v="34398"/>
    <n v="504"/>
    <x v="428"/>
    <s v="Healthcare"/>
    <s v="Online"/>
    <x v="3"/>
    <x v="1"/>
    <x v="48"/>
    <n v="86"/>
    <n v="30174"/>
    <n v="2026"/>
    <x v="2"/>
    <x v="428"/>
  </r>
  <r>
    <d v="2026-03-06T00:00:00"/>
    <x v="0"/>
    <x v="1"/>
    <n v="244507"/>
    <n v="69498"/>
    <n v="554"/>
    <x v="429"/>
    <s v="Healthcare"/>
    <s v="Distributor"/>
    <x v="1"/>
    <x v="7"/>
    <x v="229"/>
    <n v="96.8"/>
    <n v="174167"/>
    <n v="2026"/>
    <x v="2"/>
    <x v="429"/>
  </r>
  <r>
    <d v="2026-03-07T00:00:00"/>
    <x v="2"/>
    <x v="1"/>
    <n v="137904"/>
    <n v="65640"/>
    <n v="1174"/>
    <x v="430"/>
    <s v="Food"/>
    <s v="Online"/>
    <x v="3"/>
    <x v="6"/>
    <x v="170"/>
    <n v="89.5"/>
    <n v="68346"/>
    <n v="2026"/>
    <x v="2"/>
    <x v="430"/>
  </r>
  <r>
    <d v="2026-03-08T00:00:00"/>
    <x v="1"/>
    <x v="5"/>
    <n v="232977"/>
    <n v="118081"/>
    <n v="1441"/>
    <x v="431"/>
    <s v="Electronics"/>
    <s v="Distributor"/>
    <x v="3"/>
    <x v="1"/>
    <x v="71"/>
    <n v="85.8"/>
    <n v="114648"/>
    <n v="2026"/>
    <x v="2"/>
    <x v="431"/>
  </r>
  <r>
    <d v="2026-03-09T00:00:00"/>
    <x v="3"/>
    <x v="5"/>
    <n v="159524"/>
    <n v="71208"/>
    <n v="747"/>
    <x v="432"/>
    <s v="Food"/>
    <s v="Retail"/>
    <x v="4"/>
    <x v="7"/>
    <x v="89"/>
    <n v="87.9"/>
    <n v="92668"/>
    <n v="2026"/>
    <x v="2"/>
    <x v="432"/>
  </r>
  <r>
    <d v="2026-03-10T00:00:00"/>
    <x v="2"/>
    <x v="2"/>
    <n v="54791"/>
    <n v="39127"/>
    <n v="1192"/>
    <x v="433"/>
    <s v="Electronics"/>
    <s v="Distributor"/>
    <x v="3"/>
    <x v="1"/>
    <x v="168"/>
    <n v="94.5"/>
    <n v="16437"/>
    <n v="2026"/>
    <x v="2"/>
    <x v="433"/>
  </r>
  <r>
    <d v="2026-03-11T00:00:00"/>
    <x v="1"/>
    <x v="5"/>
    <n v="158184"/>
    <n v="126151"/>
    <n v="1438"/>
    <x v="434"/>
    <s v="Healthcare"/>
    <s v="Online"/>
    <x v="3"/>
    <x v="6"/>
    <x v="230"/>
    <n v="76.7"/>
    <n v="29165"/>
    <n v="2026"/>
    <x v="2"/>
    <x v="434"/>
  </r>
  <r>
    <d v="2026-03-12T00:00:00"/>
    <x v="0"/>
    <x v="5"/>
    <n v="131544"/>
    <n v="59363"/>
    <n v="299"/>
    <x v="435"/>
    <s v="Electronics"/>
    <s v="Retail"/>
    <x v="3"/>
    <x v="2"/>
    <x v="231"/>
    <n v="87.9"/>
    <n v="65315"/>
    <n v="2026"/>
    <x v="2"/>
    <x v="435"/>
  </r>
  <r>
    <d v="2026-03-13T00:00:00"/>
    <x v="3"/>
    <x v="0"/>
    <n v="295667"/>
    <n v="161566"/>
    <n v="1001"/>
    <x v="436"/>
    <s v="Apparel"/>
    <s v="Distributor"/>
    <x v="2"/>
    <x v="1"/>
    <x v="211"/>
    <n v="87.7"/>
    <n v="127142"/>
    <n v="2026"/>
    <x v="2"/>
    <x v="436"/>
  </r>
  <r>
    <d v="2026-03-14T00:00:00"/>
    <x v="3"/>
    <x v="1"/>
    <n v="94828"/>
    <n v="67816"/>
    <n v="639"/>
    <x v="437"/>
    <s v="Food"/>
    <s v="Retail"/>
    <x v="0"/>
    <x v="1"/>
    <x v="223"/>
    <n v="95.8"/>
    <n v="28647"/>
    <n v="2026"/>
    <x v="2"/>
    <x v="437"/>
  </r>
  <r>
    <d v="2026-03-15T00:00:00"/>
    <x v="1"/>
    <x v="3"/>
    <n v="73772"/>
    <n v="46835"/>
    <n v="1287"/>
    <x v="438"/>
    <s v="Food"/>
    <s v="Retail"/>
    <x v="0"/>
    <x v="7"/>
    <x v="60"/>
    <n v="81.400000000000006"/>
    <n v="25511"/>
    <n v="2026"/>
    <x v="2"/>
    <x v="438"/>
  </r>
  <r>
    <d v="2026-03-16T00:00:00"/>
    <x v="2"/>
    <x v="2"/>
    <n v="68685"/>
    <n v="45970"/>
    <n v="1047"/>
    <x v="439"/>
    <s v="Apparel"/>
    <s v="Retail"/>
    <x v="0"/>
    <x v="0"/>
    <x v="166"/>
    <n v="88.4"/>
    <n v="21627"/>
    <n v="2026"/>
    <x v="2"/>
    <x v="439"/>
  </r>
  <r>
    <d v="2026-03-17T00:00:00"/>
    <x v="0"/>
    <x v="5"/>
    <n v="88162"/>
    <n v="41203"/>
    <n v="768"/>
    <x v="440"/>
    <s v="Electronics"/>
    <s v="Retail"/>
    <x v="0"/>
    <x v="7"/>
    <x v="232"/>
    <n v="90.6"/>
    <n v="50915"/>
    <n v="2026"/>
    <x v="2"/>
    <x v="440"/>
  </r>
  <r>
    <d v="2026-03-18T00:00:00"/>
    <x v="2"/>
    <x v="4"/>
    <n v="50134"/>
    <n v="30926"/>
    <n v="420"/>
    <x v="441"/>
    <s v="Furniture"/>
    <s v="Distributor"/>
    <x v="2"/>
    <x v="5"/>
    <x v="88"/>
    <n v="85.2"/>
    <n v="20210"/>
    <n v="2026"/>
    <x v="2"/>
    <x v="441"/>
  </r>
  <r>
    <d v="2026-03-19T00:00:00"/>
    <x v="0"/>
    <x v="0"/>
    <n v="67777"/>
    <n v="31739"/>
    <n v="811"/>
    <x v="442"/>
    <s v="Healthcare"/>
    <s v="Retail"/>
    <x v="0"/>
    <x v="4"/>
    <x v="187"/>
    <n v="76.2"/>
    <n v="33877"/>
    <n v="2026"/>
    <x v="2"/>
    <x v="442"/>
  </r>
  <r>
    <d v="2026-03-20T00:00:00"/>
    <x v="1"/>
    <x v="0"/>
    <n v="55156"/>
    <n v="30753"/>
    <n v="837"/>
    <x v="443"/>
    <s v="Food"/>
    <s v="Online"/>
    <x v="1"/>
    <x v="0"/>
    <x v="64"/>
    <n v="80.5"/>
    <n v="25824"/>
    <n v="2026"/>
    <x v="2"/>
    <x v="443"/>
  </r>
  <r>
    <d v="2026-03-21T00:00:00"/>
    <x v="2"/>
    <x v="1"/>
    <n v="190352"/>
    <n v="63606"/>
    <n v="1094"/>
    <x v="444"/>
    <s v="Furniture"/>
    <s v="Online"/>
    <x v="3"/>
    <x v="8"/>
    <x v="180"/>
    <n v="97.1"/>
    <n v="138426"/>
    <n v="2026"/>
    <x v="2"/>
    <x v="444"/>
  </r>
  <r>
    <d v="2026-03-22T00:00:00"/>
    <x v="1"/>
    <x v="4"/>
    <n v="239199"/>
    <n v="39668"/>
    <n v="611"/>
    <x v="445"/>
    <s v="Healthcare"/>
    <s v="Retail"/>
    <x v="1"/>
    <x v="6"/>
    <x v="216"/>
    <n v="82.3"/>
    <n v="209802"/>
    <n v="2026"/>
    <x v="2"/>
    <x v="445"/>
  </r>
  <r>
    <d v="2026-03-23T00:00:00"/>
    <x v="1"/>
    <x v="5"/>
    <n v="224673"/>
    <n v="50071"/>
    <n v="500"/>
    <x v="446"/>
    <s v="Apparel"/>
    <s v="Retail"/>
    <x v="1"/>
    <x v="6"/>
    <x v="132"/>
    <n v="89.4"/>
    <n v="163201"/>
    <n v="2026"/>
    <x v="2"/>
    <x v="446"/>
  </r>
  <r>
    <d v="2026-03-24T00:00:00"/>
    <x v="2"/>
    <x v="5"/>
    <n v="74276"/>
    <n v="45524"/>
    <n v="1450"/>
    <x v="447"/>
    <s v="Food"/>
    <s v="Online"/>
    <x v="1"/>
    <x v="8"/>
    <x v="233"/>
    <n v="98.6"/>
    <n v="30476"/>
    <n v="2026"/>
    <x v="2"/>
    <x v="447"/>
  </r>
  <r>
    <d v="2026-03-25T00:00:00"/>
    <x v="3"/>
    <x v="2"/>
    <n v="241190"/>
    <n v="31284"/>
    <n v="1133"/>
    <x v="448"/>
    <s v="Food"/>
    <s v="Distributor"/>
    <x v="1"/>
    <x v="6"/>
    <x v="85"/>
    <n v="89.3"/>
    <n v="229435"/>
    <n v="2026"/>
    <x v="2"/>
    <x v="448"/>
  </r>
  <r>
    <d v="2026-03-26T00:00:00"/>
    <x v="1"/>
    <x v="1"/>
    <n v="125524"/>
    <n v="77434"/>
    <n v="929"/>
    <x v="449"/>
    <s v="Electronics"/>
    <s v="Distributor"/>
    <x v="3"/>
    <x v="1"/>
    <x v="26"/>
    <n v="94.3"/>
    <n v="44652"/>
    <n v="2026"/>
    <x v="2"/>
    <x v="449"/>
  </r>
  <r>
    <d v="2026-03-27T00:00:00"/>
    <x v="3"/>
    <x v="4"/>
    <n v="59502"/>
    <n v="42279"/>
    <n v="1226"/>
    <x v="450"/>
    <s v="Food"/>
    <s v="Distributor"/>
    <x v="1"/>
    <x v="1"/>
    <x v="203"/>
    <n v="98.2"/>
    <n v="17568"/>
    <n v="2026"/>
    <x v="2"/>
    <x v="450"/>
  </r>
  <r>
    <d v="2026-03-28T00:00:00"/>
    <x v="3"/>
    <x v="1"/>
    <n v="59923"/>
    <n v="42094"/>
    <n v="1492"/>
    <x v="451"/>
    <s v="Apparel"/>
    <s v="Online"/>
    <x v="2"/>
    <x v="5"/>
    <x v="19"/>
    <n v="90.6"/>
    <n v="16662"/>
    <n v="2026"/>
    <x v="2"/>
    <x v="451"/>
  </r>
  <r>
    <d v="2026-03-29T00:00:00"/>
    <x v="3"/>
    <x v="1"/>
    <n v="179212"/>
    <n v="32549"/>
    <n v="484"/>
    <x v="452"/>
    <s v="Apparel"/>
    <s v="Distributor"/>
    <x v="1"/>
    <x v="2"/>
    <x v="72"/>
    <n v="82.8"/>
    <n v="145705"/>
    <n v="2026"/>
    <x v="2"/>
    <x v="452"/>
  </r>
  <r>
    <d v="2026-03-30T00:00:00"/>
    <x v="2"/>
    <x v="5"/>
    <n v="286435"/>
    <n v="184576"/>
    <n v="842"/>
    <x v="453"/>
    <s v="Electronics"/>
    <s v="Distributor"/>
    <x v="1"/>
    <x v="3"/>
    <x v="181"/>
    <n v="98.9"/>
    <n v="108601"/>
    <n v="2026"/>
    <x v="2"/>
    <x v="453"/>
  </r>
  <r>
    <d v="2026-03-31T00:00:00"/>
    <x v="3"/>
    <x v="4"/>
    <n v="211878"/>
    <n v="42842"/>
    <n v="821"/>
    <x v="454"/>
    <s v="Healthcare"/>
    <s v="Retail"/>
    <x v="2"/>
    <x v="0"/>
    <x v="102"/>
    <n v="88.4"/>
    <n v="155267"/>
    <n v="2026"/>
    <x v="2"/>
    <x v="454"/>
  </r>
  <r>
    <d v="2026-04-01T00:00:00"/>
    <x v="1"/>
    <x v="2"/>
    <n v="240282"/>
    <n v="162995"/>
    <n v="1105"/>
    <x v="455"/>
    <s v="Apparel"/>
    <s v="Online"/>
    <x v="3"/>
    <x v="1"/>
    <x v="101"/>
    <n v="91.8"/>
    <n v="74246"/>
    <n v="2026"/>
    <x v="3"/>
    <x v="455"/>
  </r>
  <r>
    <d v="2026-04-02T00:00:00"/>
    <x v="2"/>
    <x v="3"/>
    <n v="70525"/>
    <n v="52715"/>
    <n v="545"/>
    <x v="456"/>
    <s v="Furniture"/>
    <s v="Online"/>
    <x v="0"/>
    <x v="2"/>
    <x v="161"/>
    <n v="95.9"/>
    <n v="18492"/>
    <n v="2026"/>
    <x v="3"/>
    <x v="456"/>
  </r>
  <r>
    <d v="2026-04-03T00:00:00"/>
    <x v="3"/>
    <x v="1"/>
    <n v="280245"/>
    <n v="38282"/>
    <n v="1279"/>
    <x v="457"/>
    <s v="Food"/>
    <s v="Online"/>
    <x v="2"/>
    <x v="5"/>
    <x v="0"/>
    <n v="98"/>
    <n v="230589"/>
    <n v="2026"/>
    <x v="3"/>
    <x v="457"/>
  </r>
  <r>
    <d v="2026-04-04T00:00:00"/>
    <x v="3"/>
    <x v="4"/>
    <n v="150538"/>
    <n v="59536"/>
    <n v="751"/>
    <x v="458"/>
    <s v="Electronics"/>
    <s v="Online"/>
    <x v="1"/>
    <x v="6"/>
    <x v="186"/>
    <n v="86"/>
    <n v="81988"/>
    <n v="2026"/>
    <x v="3"/>
    <x v="458"/>
  </r>
  <r>
    <d v="2026-04-05T00:00:00"/>
    <x v="1"/>
    <x v="5"/>
    <n v="102524"/>
    <n v="31596"/>
    <n v="1128"/>
    <x v="459"/>
    <s v="Healthcare"/>
    <s v="Online"/>
    <x v="0"/>
    <x v="7"/>
    <x v="78"/>
    <n v="82.9"/>
    <n v="77439"/>
    <n v="2026"/>
    <x v="3"/>
    <x v="459"/>
  </r>
  <r>
    <d v="2026-04-06T00:00:00"/>
    <x v="3"/>
    <x v="1"/>
    <n v="169004"/>
    <n v="91124"/>
    <n v="336"/>
    <x v="460"/>
    <s v="Furniture"/>
    <s v="Online"/>
    <x v="3"/>
    <x v="3"/>
    <x v="234"/>
    <n v="90.1"/>
    <n v="71856"/>
    <n v="2026"/>
    <x v="3"/>
    <x v="460"/>
  </r>
  <r>
    <d v="2026-04-07T00:00:00"/>
    <x v="1"/>
    <x v="5"/>
    <n v="87144"/>
    <n v="64659"/>
    <n v="238"/>
    <x v="461"/>
    <s v="Apparel"/>
    <s v="Online"/>
    <x v="1"/>
    <x v="3"/>
    <x v="173"/>
    <n v="92.3"/>
    <n v="20753"/>
    <n v="2026"/>
    <x v="3"/>
    <x v="461"/>
  </r>
  <r>
    <d v="2026-04-08T00:00:00"/>
    <x v="3"/>
    <x v="3"/>
    <n v="213893"/>
    <n v="33164"/>
    <n v="866"/>
    <x v="462"/>
    <s v="Apparel"/>
    <s v="Distributor"/>
    <x v="2"/>
    <x v="4"/>
    <x v="215"/>
    <n v="81.8"/>
    <n v="169741"/>
    <n v="2026"/>
    <x v="3"/>
    <x v="462"/>
  </r>
  <r>
    <d v="2026-04-09T00:00:00"/>
    <x v="0"/>
    <x v="1"/>
    <n v="216848"/>
    <n v="79506"/>
    <n v="1288"/>
    <x v="463"/>
    <s v="Furniture"/>
    <s v="Distributor"/>
    <x v="0"/>
    <x v="8"/>
    <x v="209"/>
    <n v="83.2"/>
    <n v="127104"/>
    <n v="2026"/>
    <x v="3"/>
    <x v="463"/>
  </r>
  <r>
    <d v="2026-04-10T00:00:00"/>
    <x v="1"/>
    <x v="0"/>
    <n v="103565"/>
    <n v="71587"/>
    <n v="1210"/>
    <x v="464"/>
    <s v="Food"/>
    <s v="Distributor"/>
    <x v="2"/>
    <x v="0"/>
    <x v="208"/>
    <n v="96.4"/>
    <n v="33851"/>
    <n v="2026"/>
    <x v="3"/>
    <x v="464"/>
  </r>
  <r>
    <d v="2026-04-11T00:00:00"/>
    <x v="0"/>
    <x v="5"/>
    <n v="243911"/>
    <n v="78051"/>
    <n v="391"/>
    <x v="465"/>
    <s v="Food"/>
    <s v="Distributor"/>
    <x v="2"/>
    <x v="6"/>
    <x v="171"/>
    <n v="78.400000000000006"/>
    <n v="175297"/>
    <n v="2026"/>
    <x v="3"/>
    <x v="465"/>
  </r>
  <r>
    <d v="2026-04-12T00:00:00"/>
    <x v="2"/>
    <x v="4"/>
    <n v="94636"/>
    <n v="69735"/>
    <n v="789"/>
    <x v="466"/>
    <s v="Apparel"/>
    <s v="Distributor"/>
    <x v="4"/>
    <x v="6"/>
    <x v="235"/>
    <n v="96"/>
    <n v="23811"/>
    <n v="2026"/>
    <x v="3"/>
    <x v="466"/>
  </r>
  <r>
    <d v="2026-04-13T00:00:00"/>
    <x v="2"/>
    <x v="0"/>
    <n v="207806"/>
    <n v="120715"/>
    <n v="1349"/>
    <x v="467"/>
    <s v="Apparel"/>
    <s v="Online"/>
    <x v="3"/>
    <x v="6"/>
    <x v="25"/>
    <n v="86.7"/>
    <n v="82302"/>
    <n v="2026"/>
    <x v="3"/>
    <x v="467"/>
  </r>
  <r>
    <d v="2026-04-14T00:00:00"/>
    <x v="1"/>
    <x v="3"/>
    <n v="124782"/>
    <n v="74786"/>
    <n v="358"/>
    <x v="468"/>
    <s v="Food"/>
    <s v="Retail"/>
    <x v="1"/>
    <x v="1"/>
    <x v="106"/>
    <n v="84.2"/>
    <n v="47244"/>
    <n v="2026"/>
    <x v="3"/>
    <x v="468"/>
  </r>
  <r>
    <d v="2026-04-15T00:00:00"/>
    <x v="2"/>
    <x v="3"/>
    <n v="139132"/>
    <n v="45018"/>
    <n v="821"/>
    <x v="469"/>
    <s v="Furniture"/>
    <s v="Distributor"/>
    <x v="2"/>
    <x v="5"/>
    <x v="41"/>
    <n v="88.6"/>
    <n v="101109"/>
    <n v="2026"/>
    <x v="3"/>
    <x v="469"/>
  </r>
  <r>
    <d v="2026-04-16T00:00:00"/>
    <x v="0"/>
    <x v="0"/>
    <n v="153817"/>
    <n v="108322"/>
    <n v="992"/>
    <x v="470"/>
    <s v="Electronics"/>
    <s v="Distributor"/>
    <x v="2"/>
    <x v="7"/>
    <x v="236"/>
    <n v="77.7"/>
    <n v="41836"/>
    <n v="2026"/>
    <x v="3"/>
    <x v="470"/>
  </r>
  <r>
    <d v="2026-04-17T00:00:00"/>
    <x v="0"/>
    <x v="5"/>
    <n v="199062"/>
    <n v="116446"/>
    <n v="446"/>
    <x v="471"/>
    <s v="Electronics"/>
    <s v="Online"/>
    <x v="2"/>
    <x v="4"/>
    <x v="24"/>
    <n v="94.2"/>
    <n v="90581"/>
    <n v="2026"/>
    <x v="3"/>
    <x v="471"/>
  </r>
  <r>
    <d v="2026-04-18T00:00:00"/>
    <x v="0"/>
    <x v="4"/>
    <n v="253393"/>
    <n v="74948"/>
    <n v="1274"/>
    <x v="472"/>
    <s v="Furniture"/>
    <s v="Retail"/>
    <x v="4"/>
    <x v="6"/>
    <x v="237"/>
    <n v="92.2"/>
    <n v="163637"/>
    <n v="2026"/>
    <x v="3"/>
    <x v="472"/>
  </r>
  <r>
    <d v="2026-04-19T00:00:00"/>
    <x v="2"/>
    <x v="3"/>
    <n v="181794"/>
    <n v="53648"/>
    <n v="1117"/>
    <x v="473"/>
    <s v="Food"/>
    <s v="Online"/>
    <x v="1"/>
    <x v="4"/>
    <x v="222"/>
    <n v="89.9"/>
    <n v="121401"/>
    <n v="2026"/>
    <x v="3"/>
    <x v="473"/>
  </r>
  <r>
    <d v="2026-04-20T00:00:00"/>
    <x v="0"/>
    <x v="2"/>
    <n v="183086"/>
    <n v="130191"/>
    <n v="983"/>
    <x v="474"/>
    <s v="Food"/>
    <s v="Distributor"/>
    <x v="3"/>
    <x v="5"/>
    <x v="238"/>
    <n v="88.8"/>
    <n v="49296"/>
    <n v="2026"/>
    <x v="3"/>
    <x v="474"/>
  </r>
  <r>
    <d v="2026-04-21T00:00:00"/>
    <x v="3"/>
    <x v="4"/>
    <n v="75715"/>
    <n v="54102"/>
    <n v="1478"/>
    <x v="475"/>
    <s v="Apparel"/>
    <s v="Retail"/>
    <x v="4"/>
    <x v="6"/>
    <x v="34"/>
    <n v="93.1"/>
    <n v="22533"/>
    <n v="2026"/>
    <x v="3"/>
    <x v="475"/>
  </r>
  <r>
    <d v="2026-04-22T00:00:00"/>
    <x v="0"/>
    <x v="3"/>
    <n v="264790"/>
    <n v="99427"/>
    <n v="359"/>
    <x v="476"/>
    <s v="Food"/>
    <s v="Online"/>
    <x v="4"/>
    <x v="6"/>
    <x v="129"/>
    <n v="98.3"/>
    <n v="161892"/>
    <n v="2026"/>
    <x v="3"/>
    <x v="412"/>
  </r>
  <r>
    <d v="2026-04-23T00:00:00"/>
    <x v="3"/>
    <x v="1"/>
    <n v="112739"/>
    <n v="78404"/>
    <n v="551"/>
    <x v="477"/>
    <s v="Healthcare"/>
    <s v="Online"/>
    <x v="3"/>
    <x v="9"/>
    <x v="239"/>
    <n v="92.1"/>
    <n v="32043"/>
    <n v="2026"/>
    <x v="3"/>
    <x v="476"/>
  </r>
  <r>
    <d v="2026-04-24T00:00:00"/>
    <x v="2"/>
    <x v="1"/>
    <n v="142302"/>
    <n v="91380"/>
    <n v="810"/>
    <x v="478"/>
    <s v="Electronics"/>
    <s v="Online"/>
    <x v="1"/>
    <x v="8"/>
    <x v="93"/>
    <n v="86.3"/>
    <n v="45857"/>
    <n v="2026"/>
    <x v="3"/>
    <x v="477"/>
  </r>
  <r>
    <d v="2026-04-25T00:00:00"/>
    <x v="0"/>
    <x v="4"/>
    <n v="240992"/>
    <n v="127771"/>
    <n v="1278"/>
    <x v="479"/>
    <s v="Healthcare"/>
    <s v="Distributor"/>
    <x v="2"/>
    <x v="9"/>
    <x v="73"/>
    <n v="87.3"/>
    <n v="113499"/>
    <n v="2026"/>
    <x v="3"/>
    <x v="478"/>
  </r>
  <r>
    <d v="2026-04-26T00:00:00"/>
    <x v="2"/>
    <x v="1"/>
    <n v="161021"/>
    <n v="103944"/>
    <n v="362"/>
    <x v="480"/>
    <s v="Apparel"/>
    <s v="Retail"/>
    <x v="1"/>
    <x v="0"/>
    <x v="216"/>
    <n v="79.599999999999994"/>
    <n v="62229"/>
    <n v="2026"/>
    <x v="3"/>
    <x v="479"/>
  </r>
  <r>
    <d v="2026-04-27T00:00:00"/>
    <x v="0"/>
    <x v="2"/>
    <n v="109866"/>
    <n v="39355"/>
    <n v="981"/>
    <x v="481"/>
    <s v="Electronics"/>
    <s v="Online"/>
    <x v="3"/>
    <x v="0"/>
    <x v="146"/>
    <n v="89.1"/>
    <n v="66309"/>
    <n v="2026"/>
    <x v="3"/>
    <x v="480"/>
  </r>
  <r>
    <d v="2026-04-28T00:00:00"/>
    <x v="0"/>
    <x v="1"/>
    <n v="59754"/>
    <n v="44764"/>
    <n v="1419"/>
    <x v="482"/>
    <s v="Healthcare"/>
    <s v="Retail"/>
    <x v="4"/>
    <x v="2"/>
    <x v="166"/>
    <n v="83.3"/>
    <n v="14410"/>
    <n v="2026"/>
    <x v="3"/>
    <x v="481"/>
  </r>
  <r>
    <d v="2026-04-29T00:00:00"/>
    <x v="0"/>
    <x v="1"/>
    <n v="53649"/>
    <n v="35516"/>
    <n v="790"/>
    <x v="483"/>
    <s v="Healthcare"/>
    <s v="Retail"/>
    <x v="1"/>
    <x v="2"/>
    <x v="240"/>
    <n v="94"/>
    <n v="19383"/>
    <n v="2026"/>
    <x v="3"/>
    <x v="482"/>
  </r>
  <r>
    <d v="2026-04-30T00:00:00"/>
    <x v="2"/>
    <x v="0"/>
    <n v="197588"/>
    <n v="88831"/>
    <n v="379"/>
    <x v="484"/>
    <s v="Food"/>
    <s v="Distributor"/>
    <x v="0"/>
    <x v="4"/>
    <x v="153"/>
    <n v="98.4"/>
    <n v="98939"/>
    <n v="2026"/>
    <x v="3"/>
    <x v="483"/>
  </r>
  <r>
    <d v="2026-05-01T00:00:00"/>
    <x v="3"/>
    <x v="5"/>
    <n v="83055"/>
    <n v="38316"/>
    <n v="1414"/>
    <x v="485"/>
    <s v="Food"/>
    <s v="Retail"/>
    <x v="4"/>
    <x v="4"/>
    <x v="116"/>
    <n v="79.5"/>
    <n v="40654"/>
    <n v="2026"/>
    <x v="4"/>
    <x v="484"/>
  </r>
  <r>
    <d v="2026-05-02T00:00:00"/>
    <x v="0"/>
    <x v="5"/>
    <n v="138833"/>
    <n v="81823"/>
    <n v="1266"/>
    <x v="486"/>
    <s v="Electronics"/>
    <s v="Retail"/>
    <x v="3"/>
    <x v="7"/>
    <x v="132"/>
    <n v="81.5"/>
    <n v="54413"/>
    <n v="2026"/>
    <x v="4"/>
    <x v="485"/>
  </r>
  <r>
    <d v="2026-05-03T00:00:00"/>
    <x v="3"/>
    <x v="5"/>
    <n v="209957"/>
    <n v="111023"/>
    <n v="1427"/>
    <x v="487"/>
    <s v="Healthcare"/>
    <s v="Retail"/>
    <x v="1"/>
    <x v="3"/>
    <x v="79"/>
    <n v="90.6"/>
    <n v="104645"/>
    <n v="2026"/>
    <x v="4"/>
    <x v="486"/>
  </r>
  <r>
    <d v="2026-05-04T00:00:00"/>
    <x v="1"/>
    <x v="0"/>
    <n v="144404"/>
    <n v="74794"/>
    <n v="1481"/>
    <x v="488"/>
    <s v="Apparel"/>
    <s v="Online"/>
    <x v="0"/>
    <x v="7"/>
    <x v="56"/>
    <n v="87.1"/>
    <n v="75573"/>
    <n v="2026"/>
    <x v="4"/>
    <x v="487"/>
  </r>
  <r>
    <d v="2026-05-05T00:00:00"/>
    <x v="0"/>
    <x v="5"/>
    <n v="107653"/>
    <n v="49138"/>
    <n v="1141"/>
    <x v="489"/>
    <s v="Apparel"/>
    <s v="Distributor"/>
    <x v="1"/>
    <x v="9"/>
    <x v="208"/>
    <n v="96.9"/>
    <n v="56694"/>
    <n v="2026"/>
    <x v="4"/>
    <x v="488"/>
  </r>
  <r>
    <d v="2026-05-06T00:00:00"/>
    <x v="3"/>
    <x v="0"/>
    <n v="217625"/>
    <n v="65418"/>
    <n v="290"/>
    <x v="490"/>
    <s v="Healthcare"/>
    <s v="Distributor"/>
    <x v="4"/>
    <x v="4"/>
    <x v="214"/>
    <n v="78.3"/>
    <n v="153586"/>
    <n v="2026"/>
    <x v="4"/>
    <x v="489"/>
  </r>
  <r>
    <d v="2026-05-07T00:00:00"/>
    <x v="2"/>
    <x v="2"/>
    <n v="177487"/>
    <n v="69262"/>
    <n v="645"/>
    <x v="491"/>
    <s v="Healthcare"/>
    <s v="Retail"/>
    <x v="0"/>
    <x v="2"/>
    <x v="130"/>
    <n v="80.3"/>
    <n v="104707"/>
    <n v="2026"/>
    <x v="4"/>
    <x v="490"/>
  </r>
  <r>
    <d v="2026-05-08T00:00:00"/>
    <x v="1"/>
    <x v="4"/>
    <n v="219017"/>
    <n v="152840"/>
    <n v="1289"/>
    <x v="492"/>
    <s v="Food"/>
    <s v="Distributor"/>
    <x v="4"/>
    <x v="6"/>
    <x v="241"/>
    <n v="90"/>
    <n v="71589"/>
    <n v="2026"/>
    <x v="4"/>
    <x v="491"/>
  </r>
  <r>
    <d v="2026-05-09T00:00:00"/>
    <x v="2"/>
    <x v="4"/>
    <n v="149660"/>
    <n v="55306"/>
    <n v="634"/>
    <x v="493"/>
    <s v="Apparel"/>
    <s v="Retail"/>
    <x v="1"/>
    <x v="1"/>
    <x v="12"/>
    <n v="86"/>
    <n v="90116"/>
    <n v="2026"/>
    <x v="4"/>
    <x v="492"/>
  </r>
  <r>
    <d v="2026-05-10T00:00:00"/>
    <x v="2"/>
    <x v="5"/>
    <n v="227062"/>
    <n v="105140"/>
    <n v="1339"/>
    <x v="494"/>
    <s v="Healthcare"/>
    <s v="Retail"/>
    <x v="0"/>
    <x v="7"/>
    <x v="5"/>
    <n v="90.1"/>
    <n v="129606"/>
    <n v="2026"/>
    <x v="4"/>
    <x v="493"/>
  </r>
  <r>
    <d v="2026-05-11T00:00:00"/>
    <x v="3"/>
    <x v="3"/>
    <n v="245672"/>
    <n v="158356"/>
    <n v="467"/>
    <x v="495"/>
    <s v="Furniture"/>
    <s v="Distributor"/>
    <x v="4"/>
    <x v="8"/>
    <x v="237"/>
    <n v="94.1"/>
    <n v="83375"/>
    <n v="2026"/>
    <x v="4"/>
    <x v="494"/>
  </r>
  <r>
    <d v="2026-05-12T00:00:00"/>
    <x v="2"/>
    <x v="1"/>
    <n v="151741"/>
    <n v="53951"/>
    <n v="570"/>
    <x v="496"/>
    <s v="Apparel"/>
    <s v="Online"/>
    <x v="0"/>
    <x v="6"/>
    <x v="233"/>
    <n v="81"/>
    <n v="106701"/>
    <n v="2026"/>
    <x v="4"/>
    <x v="495"/>
  </r>
  <r>
    <d v="2026-05-13T00:00:00"/>
    <x v="0"/>
    <x v="2"/>
    <n v="260183"/>
    <n v="171340"/>
    <n v="317"/>
    <x v="497"/>
    <s v="Apparel"/>
    <s v="Distributor"/>
    <x v="2"/>
    <x v="1"/>
    <x v="152"/>
    <n v="87.6"/>
    <n v="90144"/>
    <n v="2026"/>
    <x v="4"/>
    <x v="496"/>
  </r>
  <r>
    <d v="2026-05-14T00:00:00"/>
    <x v="1"/>
    <x v="5"/>
    <n v="199037"/>
    <n v="127848"/>
    <n v="917"/>
    <x v="498"/>
    <s v="Electronics"/>
    <s v="Online"/>
    <x v="0"/>
    <x v="6"/>
    <x v="242"/>
    <n v="86.2"/>
    <n v="72646"/>
    <n v="2026"/>
    <x v="4"/>
    <x v="497"/>
  </r>
  <r>
    <d v="2026-05-15T00:00:00"/>
    <x v="1"/>
    <x v="3"/>
    <n v="109680"/>
    <n v="71086"/>
    <n v="478"/>
    <x v="499"/>
    <s v="Furniture"/>
    <s v="Distributor"/>
    <x v="3"/>
    <x v="2"/>
    <x v="99"/>
    <n v="91.3"/>
    <n v="36904"/>
    <n v="2026"/>
    <x v="4"/>
    <x v="4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9EBF7-A0EC-456C-A9E5-2E71ACAD66A8}"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U17:X24" firstHeaderRow="0" firstDataRow="1" firstDataCol="1"/>
  <pivotFields count="17">
    <pivotField numFmtId="14" showAll="0"/>
    <pivotField showAll="0">
      <items count="5">
        <item x="0"/>
        <item x="2"/>
        <item x="1"/>
        <item x="3"/>
        <item t="default"/>
      </items>
    </pivotField>
    <pivotField axis="axisRow" showAll="0">
      <items count="7">
        <item x="4"/>
        <item x="5"/>
        <item x="3"/>
        <item x="1"/>
        <item x="2"/>
        <item x="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13">
        <item h="1" x="0"/>
        <item h="1" x="1"/>
        <item h="1" x="2"/>
        <item h="1" x="3"/>
        <item h="1" x="4"/>
        <item h="1" x="5"/>
        <item h="1" x="6"/>
        <item h="1" x="7"/>
        <item h="1" x="8"/>
        <item x="9"/>
        <item h="1" x="10"/>
        <item h="1" x="11"/>
        <item t="default"/>
      </items>
    </pivotField>
    <pivotField dataField="1" showAll="0"/>
  </pivotFields>
  <rowFields count="1">
    <field x="2"/>
  </rowFields>
  <rowItems count="7">
    <i>
      <x/>
    </i>
    <i>
      <x v="1"/>
    </i>
    <i>
      <x v="2"/>
    </i>
    <i>
      <x v="3"/>
    </i>
    <i>
      <x v="4"/>
    </i>
    <i>
      <x v="5"/>
    </i>
    <i t="grand">
      <x/>
    </i>
  </rowItems>
  <colFields count="1">
    <field x="-2"/>
  </colFields>
  <colItems count="3">
    <i>
      <x/>
    </i>
    <i i="1">
      <x v="1"/>
    </i>
    <i i="2">
      <x v="2"/>
    </i>
  </colItems>
  <dataFields count="3">
    <dataField name="Sum of Revenue" fld="3" baseField="0" baseItem="0"/>
    <dataField name="Sum of Expenses" fld="4" baseField="0" baseItem="0"/>
    <dataField name="Sum of Actual Profit" fld="16" baseField="0" baseItem="0"/>
  </dataFields>
  <formats count="10">
    <format dxfId="99">
      <pivotArea outline="0" collapsedLevelsAreSubtotals="1" fieldPosition="0"/>
    </format>
    <format dxfId="98">
      <pivotArea dataOnly="0" labelOnly="1" outline="0" fieldPosition="0">
        <references count="1">
          <reference field="4294967294" count="1">
            <x v="0"/>
          </reference>
        </references>
      </pivotArea>
    </format>
    <format dxfId="97">
      <pivotArea type="all" dataOnly="0" outline="0" fieldPosition="0"/>
    </format>
    <format dxfId="96">
      <pivotArea outline="0" collapsedLevelsAreSubtotals="1" fieldPosition="0"/>
    </format>
    <format dxfId="95">
      <pivotArea field="2" type="button" dataOnly="0" labelOnly="1" outline="0" axis="axisRow" fieldPosition="0"/>
    </format>
    <format dxfId="94">
      <pivotArea dataOnly="0" labelOnly="1" fieldPosition="0">
        <references count="1">
          <reference field="2" count="0"/>
        </references>
      </pivotArea>
    </format>
    <format dxfId="93">
      <pivotArea dataOnly="0" labelOnly="1" grandRow="1" outline="0" fieldPosition="0"/>
    </format>
    <format dxfId="92">
      <pivotArea dataOnly="0" labelOnly="1" outline="0" fieldPosition="0">
        <references count="1">
          <reference field="4294967294" count="3">
            <x v="0"/>
            <x v="1"/>
            <x v="2"/>
          </reference>
        </references>
      </pivotArea>
    </format>
    <format dxfId="91">
      <pivotArea collapsedLevelsAreSubtotals="1" fieldPosition="0">
        <references count="1">
          <reference field="2" count="0"/>
        </references>
      </pivotArea>
    </format>
    <format dxfId="90">
      <pivotArea dataOnly="0" labelOnly="1" fieldPosition="0">
        <references count="1">
          <reference field="2" count="0"/>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2" count="1" selected="0">
            <x v="4"/>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2FC5DD-8705-4024-8F23-E90C7C4BCD3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location ref="O30:P41" firstHeaderRow="1" firstDataRow="1" firstDataCol="1"/>
  <pivotFields count="17">
    <pivotField numFmtId="14" showAll="0"/>
    <pivotField showAll="0">
      <items count="5">
        <item x="0"/>
        <item x="2"/>
        <item x="1"/>
        <item x="3"/>
        <item t="default"/>
      </items>
    </pivotField>
    <pivotField showAll="0">
      <items count="7">
        <item x="4"/>
        <item x="5"/>
        <item x="3"/>
        <item x="1"/>
        <item x="2"/>
        <item x="0"/>
        <item t="default"/>
      </items>
    </pivotField>
    <pivotField dataField="1" showAll="0"/>
    <pivotField showAll="0"/>
    <pivotField showAll="0"/>
    <pivotField showAll="0">
      <items count="501">
        <item x="139"/>
        <item x="441"/>
        <item x="160"/>
        <item x="47"/>
        <item x="443"/>
        <item x="220"/>
        <item x="81"/>
        <item x="483"/>
        <item x="49"/>
        <item x="248"/>
        <item x="196"/>
        <item x="31"/>
        <item x="156"/>
        <item x="55"/>
        <item x="356"/>
        <item x="210"/>
        <item x="482"/>
        <item x="433"/>
        <item x="200"/>
        <item x="319"/>
        <item x="223"/>
        <item x="115"/>
        <item x="148"/>
        <item x="450"/>
        <item x="137"/>
        <item x="364"/>
        <item x="177"/>
        <item x="129"/>
        <item x="201"/>
        <item x="442"/>
        <item x="238"/>
        <item x="252"/>
        <item x="383"/>
        <item x="292"/>
        <item x="112"/>
        <item x="264"/>
        <item x="208"/>
        <item x="86"/>
        <item x="366"/>
        <item x="287"/>
        <item x="371"/>
        <item x="56"/>
        <item x="428"/>
        <item x="451"/>
        <item x="79"/>
        <item x="67"/>
        <item x="447"/>
        <item x="72"/>
        <item x="369"/>
        <item x="456"/>
        <item x="278"/>
        <item x="216"/>
        <item x="5"/>
        <item x="475"/>
        <item x="378"/>
        <item x="186"/>
        <item x="182"/>
        <item x="343"/>
        <item x="438"/>
        <item x="337"/>
        <item x="181"/>
        <item x="203"/>
        <item x="241"/>
        <item x="94"/>
        <item x="121"/>
        <item x="367"/>
        <item x="439"/>
        <item x="45"/>
        <item x="386"/>
        <item x="304"/>
        <item x="254"/>
        <item x="229"/>
        <item x="342"/>
        <item x="218"/>
        <item x="349"/>
        <item x="40"/>
        <item x="461"/>
        <item x="440"/>
        <item x="234"/>
        <item x="69"/>
        <item x="251"/>
        <item x="173"/>
        <item x="123"/>
        <item x="6"/>
        <item x="425"/>
        <item x="485"/>
        <item x="176"/>
        <item x="167"/>
        <item x="309"/>
        <item x="387"/>
        <item x="26"/>
        <item x="22"/>
        <item x="262"/>
        <item x="437"/>
        <item x="73"/>
        <item x="466"/>
        <item x="402"/>
        <item x="142"/>
        <item x="242"/>
        <item x="155"/>
        <item x="269"/>
        <item x="281"/>
        <item x="30"/>
        <item x="145"/>
        <item x="219"/>
        <item x="423"/>
        <item x="390"/>
        <item x="464"/>
        <item x="306"/>
        <item x="19"/>
        <item x="108"/>
        <item x="408"/>
        <item x="117"/>
        <item x="92"/>
        <item x="350"/>
        <item x="334"/>
        <item x="3"/>
        <item x="90"/>
        <item x="170"/>
        <item x="384"/>
        <item x="180"/>
        <item x="276"/>
        <item x="255"/>
        <item x="41"/>
        <item x="424"/>
        <item x="325"/>
        <item x="227"/>
        <item x="14"/>
        <item x="237"/>
        <item x="489"/>
        <item x="33"/>
        <item x="417"/>
        <item x="399"/>
        <item x="341"/>
        <item x="357"/>
        <item x="373"/>
        <item x="320"/>
        <item x="459"/>
        <item x="104"/>
        <item x="294"/>
        <item x="354"/>
        <item x="335"/>
        <item x="481"/>
        <item x="382"/>
        <item x="358"/>
        <item x="11"/>
        <item x="477"/>
        <item x="189"/>
        <item x="499"/>
        <item x="393"/>
        <item x="87"/>
        <item x="312"/>
        <item x="157"/>
        <item x="206"/>
        <item x="352"/>
        <item x="355"/>
        <item x="153"/>
        <item x="204"/>
        <item x="244"/>
        <item x="468"/>
        <item x="68"/>
        <item x="128"/>
        <item x="333"/>
        <item x="270"/>
        <item x="158"/>
        <item x="435"/>
        <item x="307"/>
        <item x="290"/>
        <item x="283"/>
        <item x="146"/>
        <item x="166"/>
        <item x="70"/>
        <item x="93"/>
        <item x="265"/>
        <item x="430"/>
        <item x="245"/>
        <item x="135"/>
        <item x="415"/>
        <item x="190"/>
        <item x="469"/>
        <item x="406"/>
        <item x="310"/>
        <item x="449"/>
        <item x="362"/>
        <item x="422"/>
        <item x="360"/>
        <item x="397"/>
        <item x="239"/>
        <item x="486"/>
        <item x="311"/>
        <item x="329"/>
        <item x="470"/>
        <item x="149"/>
        <item x="102"/>
        <item x="247"/>
        <item x="101"/>
        <item x="410"/>
        <item x="324"/>
        <item x="109"/>
        <item x="478"/>
        <item x="488"/>
        <item x="84"/>
        <item x="322"/>
        <item x="299"/>
        <item x="496"/>
        <item x="89"/>
        <item x="20"/>
        <item x="97"/>
        <item x="275"/>
        <item x="151"/>
        <item x="62"/>
        <item x="370"/>
        <item x="175"/>
        <item x="43"/>
        <item x="389"/>
        <item x="211"/>
        <item x="377"/>
        <item x="460"/>
        <item x="301"/>
        <item x="401"/>
        <item x="432"/>
        <item x="403"/>
        <item x="260"/>
        <item x="493"/>
        <item x="300"/>
        <item x="288"/>
        <item x="185"/>
        <item x="18"/>
        <item x="295"/>
        <item x="10"/>
        <item x="411"/>
        <item x="83"/>
        <item x="291"/>
        <item x="231"/>
        <item x="458"/>
        <item x="50"/>
        <item x="44"/>
        <item x="48"/>
        <item x="165"/>
        <item x="379"/>
        <item x="159"/>
        <item x="111"/>
        <item x="113"/>
        <item x="76"/>
        <item x="126"/>
        <item x="258"/>
        <item x="7"/>
        <item x="114"/>
        <item x="351"/>
        <item x="88"/>
        <item x="434"/>
        <item x="154"/>
        <item x="53"/>
        <item x="344"/>
        <item x="323"/>
        <item x="289"/>
        <item x="427"/>
        <item x="54"/>
        <item x="8"/>
        <item x="426"/>
        <item x="361"/>
        <item x="480"/>
        <item x="134"/>
        <item x="213"/>
        <item x="133"/>
        <item x="119"/>
        <item x="183"/>
        <item x="346"/>
        <item x="51"/>
        <item x="13"/>
        <item x="35"/>
        <item x="63"/>
        <item x="452"/>
        <item x="400"/>
        <item x="491"/>
        <item x="103"/>
        <item x="471"/>
        <item x="23"/>
        <item x="46"/>
        <item x="91"/>
        <item x="188"/>
        <item x="272"/>
        <item x="197"/>
        <item x="240"/>
        <item x="420"/>
        <item x="302"/>
        <item x="172"/>
        <item x="330"/>
        <item x="1"/>
        <item x="274"/>
        <item x="17"/>
        <item x="144"/>
        <item x="409"/>
        <item x="444"/>
        <item x="473"/>
        <item x="78"/>
        <item x="132"/>
        <item x="268"/>
        <item x="256"/>
        <item x="353"/>
        <item x="298"/>
        <item x="25"/>
        <item x="374"/>
        <item x="207"/>
        <item x="407"/>
        <item x="95"/>
        <item x="284"/>
        <item x="60"/>
        <item x="490"/>
        <item x="328"/>
        <item x="314"/>
        <item x="282"/>
        <item x="492"/>
        <item x="474"/>
        <item x="64"/>
        <item x="15"/>
        <item x="498"/>
        <item x="273"/>
        <item x="315"/>
        <item x="398"/>
        <item x="484"/>
        <item x="192"/>
        <item x="0"/>
        <item x="487"/>
        <item x="77"/>
        <item x="297"/>
        <item x="243"/>
        <item x="29"/>
        <item x="266"/>
        <item x="224"/>
        <item x="179"/>
        <item x="65"/>
        <item x="375"/>
        <item x="372"/>
        <item x="230"/>
        <item x="431"/>
        <item x="308"/>
        <item x="463"/>
        <item x="147"/>
        <item x="467"/>
        <item x="279"/>
        <item x="34"/>
        <item x="286"/>
        <item x="116"/>
        <item x="345"/>
        <item x="136"/>
        <item x="446"/>
        <item x="140"/>
        <item x="293"/>
        <item x="280"/>
        <item x="495"/>
        <item x="152"/>
        <item x="194"/>
        <item x="198"/>
        <item x="321"/>
        <item x="80"/>
        <item x="454"/>
        <item x="131"/>
        <item x="58"/>
        <item x="39"/>
        <item x="57"/>
        <item x="419"/>
        <item x="303"/>
        <item x="233"/>
        <item x="412"/>
        <item x="82"/>
        <item x="232"/>
        <item x="313"/>
        <item x="226"/>
        <item x="347"/>
        <item x="38"/>
        <item x="380"/>
        <item x="391"/>
        <item x="413"/>
        <item x="221"/>
        <item x="28"/>
        <item x="96"/>
        <item x="462"/>
        <item x="326"/>
        <item x="217"/>
        <item x="414"/>
        <item x="261"/>
        <item x="106"/>
        <item x="21"/>
        <item x="212"/>
        <item x="187"/>
        <item x="305"/>
        <item x="465"/>
        <item x="184"/>
        <item x="168"/>
        <item x="141"/>
        <item x="336"/>
        <item x="476"/>
        <item x="392"/>
        <item x="332"/>
        <item x="339"/>
        <item x="222"/>
        <item x="331"/>
        <item x="448"/>
        <item x="263"/>
        <item x="396"/>
        <item x="105"/>
        <item x="125"/>
        <item x="285"/>
        <item x="202"/>
        <item x="228"/>
        <item x="494"/>
        <item x="445"/>
        <item x="455"/>
        <item x="429"/>
        <item x="368"/>
        <item x="381"/>
        <item x="472"/>
        <item x="162"/>
        <item x="316"/>
        <item x="249"/>
        <item x="225"/>
        <item x="2"/>
        <item x="37"/>
        <item x="98"/>
        <item x="277"/>
        <item x="395"/>
        <item x="169"/>
        <item x="296"/>
        <item x="4"/>
        <item x="110"/>
        <item x="195"/>
        <item x="27"/>
        <item x="479"/>
        <item x="130"/>
        <item x="52"/>
        <item x="205"/>
        <item x="214"/>
        <item x="59"/>
        <item x="9"/>
        <item x="236"/>
        <item x="100"/>
        <item x="317"/>
        <item x="99"/>
        <item x="199"/>
        <item x="376"/>
        <item x="174"/>
        <item x="36"/>
        <item x="32"/>
        <item x="118"/>
        <item x="246"/>
        <item x="259"/>
        <item x="253"/>
        <item x="74"/>
        <item x="138"/>
        <item x="271"/>
        <item x="359"/>
        <item x="120"/>
        <item x="318"/>
        <item x="215"/>
        <item x="267"/>
        <item x="436"/>
        <item x="71"/>
        <item x="235"/>
        <item x="171"/>
        <item x="178"/>
        <item x="348"/>
        <item x="388"/>
        <item x="75"/>
        <item x="16"/>
        <item x="340"/>
        <item x="61"/>
        <item x="497"/>
        <item x="457"/>
        <item x="416"/>
        <item x="107"/>
        <item x="191"/>
        <item x="338"/>
        <item x="143"/>
        <item x="66"/>
        <item x="385"/>
        <item x="421"/>
        <item x="250"/>
        <item x="418"/>
        <item x="163"/>
        <item x="453"/>
        <item x="12"/>
        <item x="394"/>
        <item x="150"/>
        <item x="257"/>
        <item x="209"/>
        <item x="327"/>
        <item x="405"/>
        <item x="127"/>
        <item x="85"/>
        <item x="122"/>
        <item x="404"/>
        <item x="193"/>
        <item x="161"/>
        <item x="42"/>
        <item x="164"/>
        <item x="363"/>
        <item x="24"/>
        <item x="124"/>
        <item x="365"/>
        <item t="default"/>
      </items>
    </pivotField>
    <pivotField showAll="0"/>
    <pivotField showAll="0"/>
    <pivotField showAll="0">
      <items count="6">
        <item x="0"/>
        <item x="3"/>
        <item x="2"/>
        <item x="4"/>
        <item x="1"/>
        <item t="default"/>
      </items>
    </pivotField>
    <pivotField showAll="0">
      <items count="11">
        <item x="5"/>
        <item x="2"/>
        <item x="0"/>
        <item x="1"/>
        <item x="4"/>
        <item x="3"/>
        <item x="6"/>
        <item x="8"/>
        <item x="7"/>
        <item x="9"/>
        <item t="default"/>
      </items>
    </pivotField>
    <pivotField axis="axisRow" showAll="0" measureFilter="1">
      <items count="244">
        <item x="86"/>
        <item x="218"/>
        <item x="233"/>
        <item x="82"/>
        <item x="9"/>
        <item x="22"/>
        <item x="43"/>
        <item x="143"/>
        <item x="14"/>
        <item x="18"/>
        <item x="112"/>
        <item x="49"/>
        <item x="190"/>
        <item x="181"/>
        <item x="96"/>
        <item x="1"/>
        <item x="123"/>
        <item x="136"/>
        <item x="76"/>
        <item x="201"/>
        <item x="71"/>
        <item x="167"/>
        <item x="226"/>
        <item x="68"/>
        <item x="108"/>
        <item x="119"/>
        <item x="206"/>
        <item x="203"/>
        <item x="202"/>
        <item x="144"/>
        <item x="59"/>
        <item x="28"/>
        <item x="193"/>
        <item x="83"/>
        <item x="219"/>
        <item x="208"/>
        <item x="16"/>
        <item x="242"/>
        <item x="111"/>
        <item x="199"/>
        <item x="114"/>
        <item x="7"/>
        <item x="139"/>
        <item x="51"/>
        <item x="41"/>
        <item x="4"/>
        <item x="0"/>
        <item x="220"/>
        <item x="137"/>
        <item x="173"/>
        <item x="125"/>
        <item x="224"/>
        <item x="169"/>
        <item x="87"/>
        <item x="58"/>
        <item x="118"/>
        <item x="234"/>
        <item x="107"/>
        <item x="33"/>
        <item x="99"/>
        <item x="210"/>
        <item x="161"/>
        <item x="46"/>
        <item x="67"/>
        <item x="101"/>
        <item x="134"/>
        <item x="53"/>
        <item x="92"/>
        <item x="45"/>
        <item x="205"/>
        <item x="142"/>
        <item x="113"/>
        <item x="172"/>
        <item x="216"/>
        <item x="85"/>
        <item x="74"/>
        <item x="239"/>
        <item x="164"/>
        <item x="222"/>
        <item x="103"/>
        <item x="64"/>
        <item x="8"/>
        <item x="56"/>
        <item x="20"/>
        <item x="156"/>
        <item x="223"/>
        <item x="23"/>
        <item x="232"/>
        <item x="178"/>
        <item x="122"/>
        <item x="15"/>
        <item x="63"/>
        <item x="121"/>
        <item x="69"/>
        <item x="30"/>
        <item x="162"/>
        <item x="211"/>
        <item x="196"/>
        <item x="204"/>
        <item x="97"/>
        <item x="177"/>
        <item x="94"/>
        <item x="79"/>
        <item x="25"/>
        <item x="115"/>
        <item x="150"/>
        <item x="209"/>
        <item x="198"/>
        <item x="158"/>
        <item x="238"/>
        <item x="29"/>
        <item x="235"/>
        <item x="95"/>
        <item x="17"/>
        <item x="174"/>
        <item x="109"/>
        <item x="5"/>
        <item x="50"/>
        <item x="105"/>
        <item x="48"/>
        <item x="89"/>
        <item x="129"/>
        <item x="27"/>
        <item x="32"/>
        <item x="78"/>
        <item x="90"/>
        <item x="39"/>
        <item x="225"/>
        <item x="230"/>
        <item x="212"/>
        <item x="57"/>
        <item x="65"/>
        <item x="38"/>
        <item x="184"/>
        <item x="10"/>
        <item x="214"/>
        <item x="54"/>
        <item x="153"/>
        <item x="147"/>
        <item x="3"/>
        <item x="155"/>
        <item x="227"/>
        <item x="215"/>
        <item x="182"/>
        <item x="241"/>
        <item x="192"/>
        <item x="157"/>
        <item x="31"/>
        <item x="42"/>
        <item x="236"/>
        <item x="133"/>
        <item x="81"/>
        <item x="6"/>
        <item x="152"/>
        <item x="60"/>
        <item x="21"/>
        <item x="52"/>
        <item x="75"/>
        <item x="140"/>
        <item x="61"/>
        <item x="195"/>
        <item x="168"/>
        <item x="37"/>
        <item x="62"/>
        <item x="217"/>
        <item x="213"/>
        <item x="11"/>
        <item x="165"/>
        <item x="66"/>
        <item x="132"/>
        <item x="180"/>
        <item x="35"/>
        <item x="229"/>
        <item x="166"/>
        <item x="148"/>
        <item x="240"/>
        <item x="194"/>
        <item x="91"/>
        <item x="19"/>
        <item x="228"/>
        <item x="72"/>
        <item x="55"/>
        <item x="187"/>
        <item x="151"/>
        <item x="188"/>
        <item x="186"/>
        <item x="73"/>
        <item x="70"/>
        <item x="183"/>
        <item x="130"/>
        <item x="127"/>
        <item x="189"/>
        <item x="116"/>
        <item x="102"/>
        <item x="77"/>
        <item x="197"/>
        <item x="126"/>
        <item x="98"/>
        <item x="47"/>
        <item x="88"/>
        <item x="146"/>
        <item x="40"/>
        <item x="36"/>
        <item x="221"/>
        <item x="128"/>
        <item x="159"/>
        <item x="93"/>
        <item x="176"/>
        <item x="170"/>
        <item x="26"/>
        <item x="154"/>
        <item x="185"/>
        <item x="80"/>
        <item x="163"/>
        <item x="13"/>
        <item x="191"/>
        <item x="131"/>
        <item x="117"/>
        <item x="138"/>
        <item x="106"/>
        <item x="110"/>
        <item x="120"/>
        <item x="84"/>
        <item x="171"/>
        <item x="12"/>
        <item x="149"/>
        <item x="24"/>
        <item x="2"/>
        <item x="135"/>
        <item x="207"/>
        <item x="100"/>
        <item x="145"/>
        <item x="141"/>
        <item x="44"/>
        <item x="179"/>
        <item x="104"/>
        <item x="231"/>
        <item x="34"/>
        <item x="124"/>
        <item x="237"/>
        <item x="200"/>
        <item x="160"/>
        <item x="175"/>
        <item t="default"/>
      </items>
    </pivotField>
    <pivotField showAll="0"/>
    <pivotField showAll="0"/>
    <pivotField showAll="0"/>
    <pivotField showAll="0">
      <items count="13">
        <item h="1" x="0"/>
        <item h="1" x="1"/>
        <item h="1" x="2"/>
        <item h="1" x="3"/>
        <item h="1" x="4"/>
        <item h="1" x="5"/>
        <item h="1" x="6"/>
        <item h="1" x="7"/>
        <item h="1" x="8"/>
        <item x="9"/>
        <item h="1" x="10"/>
        <item h="1" x="11"/>
        <item t="default"/>
      </items>
    </pivotField>
    <pivotField showAll="0">
      <items count="500">
        <item x="139"/>
        <item x="220"/>
        <item x="115"/>
        <item x="208"/>
        <item x="210"/>
        <item x="319"/>
        <item x="47"/>
        <item x="31"/>
        <item x="481"/>
        <item x="433"/>
        <item x="196"/>
        <item x="55"/>
        <item x="248"/>
        <item x="203"/>
        <item x="450"/>
        <item x="156"/>
        <item x="456"/>
        <item x="238"/>
        <item x="451"/>
        <item x="177"/>
        <item x="482"/>
        <item x="79"/>
        <item x="369"/>
        <item x="167"/>
        <item x="441"/>
        <item x="364"/>
        <item x="26"/>
        <item x="72"/>
        <item x="49"/>
        <item x="112"/>
        <item x="40"/>
        <item x="342"/>
        <item x="218"/>
        <item x="252"/>
        <item x="371"/>
        <item x="186"/>
        <item x="200"/>
        <item x="475"/>
        <item x="5"/>
        <item x="251"/>
        <item x="155"/>
        <item x="22"/>
        <item x="81"/>
        <item x="160"/>
        <item x="461"/>
        <item x="19"/>
        <item x="439"/>
        <item x="378"/>
        <item x="276"/>
        <item x="423"/>
        <item x="223"/>
        <item x="67"/>
        <item x="148"/>
        <item x="94"/>
        <item x="443"/>
        <item x="108"/>
        <item x="201"/>
        <item x="287"/>
        <item x="6"/>
        <item x="466"/>
        <item x="292"/>
        <item x="129"/>
        <item x="173"/>
        <item x="366"/>
        <item x="121"/>
        <item x="204"/>
        <item x="356"/>
        <item x="189"/>
        <item x="45"/>
        <item x="438"/>
        <item x="73"/>
        <item x="437"/>
        <item x="89"/>
        <item x="69"/>
        <item x="424"/>
        <item x="383"/>
        <item x="92"/>
        <item x="56"/>
        <item x="447"/>
        <item x="417"/>
        <item x="278"/>
        <item x="216"/>
        <item x="254"/>
        <item x="384"/>
        <item x="425"/>
        <item x="11"/>
        <item x="264"/>
        <item x="428"/>
        <item x="397"/>
        <item x="181"/>
        <item x="464"/>
        <item x="434"/>
        <item x="137"/>
        <item x="307"/>
        <item x="367"/>
        <item x="337"/>
        <item x="275"/>
        <item x="123"/>
        <item x="476"/>
        <item x="299"/>
        <item x="334"/>
        <item x="373"/>
        <item x="350"/>
        <item x="389"/>
        <item x="442"/>
        <item x="14"/>
        <item x="304"/>
        <item x="343"/>
        <item x="284"/>
        <item x="30"/>
        <item x="309"/>
        <item x="361"/>
        <item x="311"/>
        <item x="386"/>
        <item x="234"/>
        <item x="229"/>
        <item x="165"/>
        <item x="402"/>
        <item x="86"/>
        <item x="255"/>
        <item x="498"/>
        <item x="382"/>
        <item x="207"/>
        <item x="344"/>
        <item x="241"/>
        <item x="53"/>
        <item x="406"/>
        <item x="239"/>
        <item x="102"/>
        <item x="374"/>
        <item x="182"/>
        <item x="420"/>
        <item x="335"/>
        <item x="399"/>
        <item x="242"/>
        <item x="323"/>
        <item x="227"/>
        <item x="29"/>
        <item x="302"/>
        <item x="387"/>
        <item x="269"/>
        <item x="84"/>
        <item x="484"/>
        <item x="180"/>
        <item x="244"/>
        <item x="470"/>
        <item x="291"/>
        <item x="41"/>
        <item x="297"/>
        <item x="325"/>
        <item x="310"/>
        <item x="427"/>
        <item x="48"/>
        <item x="158"/>
        <item x="408"/>
        <item x="146"/>
        <item x="440"/>
        <item x="265"/>
        <item x="149"/>
        <item x="360"/>
        <item x="410"/>
        <item x="333"/>
        <item x="449"/>
        <item x="192"/>
        <item x="280"/>
        <item x="268"/>
        <item x="468"/>
        <item x="247"/>
        <item x="219"/>
        <item x="349"/>
        <item x="281"/>
        <item x="477"/>
        <item x="262"/>
        <item x="274"/>
        <item x="96"/>
        <item x="283"/>
        <item x="474"/>
        <item x="312"/>
        <item x="354"/>
        <item x="401"/>
        <item x="145"/>
        <item x="132"/>
        <item x="194"/>
        <item x="111"/>
        <item x="176"/>
        <item x="390"/>
        <item x="125"/>
        <item x="260"/>
        <item x="409"/>
        <item x="485"/>
        <item x="479"/>
        <item x="357"/>
        <item x="249"/>
        <item x="324"/>
        <item x="32"/>
        <item x="403"/>
        <item x="488"/>
        <item x="320"/>
        <item x="133"/>
        <item x="90"/>
        <item x="117"/>
        <item x="306"/>
        <item x="202"/>
        <item x="34"/>
        <item x="147"/>
        <item x="336"/>
        <item x="322"/>
        <item x="415"/>
        <item x="17"/>
        <item x="282"/>
        <item x="209"/>
        <item x="68"/>
        <item x="294"/>
        <item x="245"/>
        <item x="237"/>
        <item x="109"/>
        <item x="195"/>
        <item x="51"/>
        <item x="226"/>
        <item x="231"/>
        <item x="377"/>
        <item x="491"/>
        <item x="426"/>
        <item x="54"/>
        <item x="70"/>
        <item x="113"/>
        <item x="330"/>
        <item x="298"/>
        <item x="3"/>
        <item x="142"/>
        <item x="157"/>
        <item x="127"/>
        <item x="340"/>
        <item x="352"/>
        <item x="487"/>
        <item x="418"/>
        <item x="480"/>
        <item x="266"/>
        <item x="170"/>
        <item x="459"/>
        <item x="497"/>
        <item x="236"/>
        <item x="33"/>
        <item x="435"/>
        <item x="430"/>
        <item x="341"/>
        <item x="38"/>
        <item x="136"/>
        <item x="358"/>
        <item x="175"/>
        <item x="205"/>
        <item x="376"/>
        <item x="243"/>
        <item x="78"/>
        <item x="101"/>
        <item x="64"/>
        <item x="100"/>
        <item x="105"/>
        <item x="455"/>
        <item x="21"/>
        <item x="288"/>
        <item x="211"/>
        <item x="20"/>
        <item x="370"/>
        <item x="460"/>
        <item x="329"/>
        <item x="144"/>
        <item x="393"/>
        <item x="168"/>
        <item x="130"/>
        <item x="258"/>
        <item x="151"/>
        <item x="143"/>
        <item x="273"/>
        <item x="131"/>
        <item x="166"/>
        <item x="87"/>
        <item x="91"/>
        <item x="471"/>
        <item x="183"/>
        <item x="228"/>
        <item x="198"/>
        <item x="355"/>
        <item x="0"/>
        <item x="88"/>
        <item x="206"/>
        <item x="318"/>
        <item x="308"/>
        <item x="104"/>
        <item x="286"/>
        <item x="277"/>
        <item x="467"/>
        <item x="164"/>
        <item x="494"/>
        <item x="257"/>
        <item x="172"/>
        <item x="154"/>
        <item x="432"/>
        <item x="270"/>
        <item x="97"/>
        <item x="496"/>
        <item x="326"/>
        <item x="353"/>
        <item x="119"/>
        <item x="246"/>
        <item x="12"/>
        <item x="52"/>
        <item x="458"/>
        <item x="76"/>
        <item x="305"/>
        <item x="141"/>
        <item x="422"/>
        <item x="59"/>
        <item x="469"/>
        <item x="44"/>
        <item x="351"/>
        <item x="492"/>
        <item x="221"/>
        <item x="190"/>
        <item x="290"/>
        <item x="411"/>
        <item x="135"/>
        <item x="495"/>
        <item x="314"/>
        <item x="126"/>
        <item x="83"/>
        <item x="486"/>
        <item x="128"/>
        <item x="153"/>
        <item x="114"/>
        <item x="39"/>
        <item x="74"/>
        <item x="300"/>
        <item x="453"/>
        <item x="18"/>
        <item x="23"/>
        <item x="2"/>
        <item x="134"/>
        <item x="7"/>
        <item x="375"/>
        <item x="50"/>
        <item x="140"/>
        <item x="394"/>
        <item x="215"/>
        <item x="93"/>
        <item x="362"/>
        <item x="490"/>
        <item x="483"/>
        <item x="15"/>
        <item x="57"/>
        <item x="379"/>
        <item x="293"/>
        <item x="405"/>
        <item x="191"/>
        <item x="9"/>
        <item x="62"/>
        <item x="478"/>
        <item x="28"/>
        <item x="13"/>
        <item x="24"/>
        <item x="289"/>
        <item x="431"/>
        <item x="159"/>
        <item x="391"/>
        <item x="77"/>
        <item x="313"/>
        <item x="42"/>
        <item x="240"/>
        <item x="106"/>
        <item x="43"/>
        <item x="116"/>
        <item x="185"/>
        <item x="493"/>
        <item x="316"/>
        <item x="98"/>
        <item x="400"/>
        <item x="328"/>
        <item x="301"/>
        <item x="197"/>
        <item x="398"/>
        <item x="444"/>
        <item x="359"/>
        <item x="295"/>
        <item x="473"/>
        <item x="303"/>
        <item x="10"/>
        <item x="179"/>
        <item x="36"/>
        <item x="188"/>
        <item x="66"/>
        <item x="261"/>
        <item x="436"/>
        <item x="8"/>
        <item x="161"/>
        <item x="285"/>
        <item x="193"/>
        <item x="58"/>
        <item x="421"/>
        <item x="213"/>
        <item x="463"/>
        <item x="99"/>
        <item x="103"/>
        <item x="381"/>
        <item x="419"/>
        <item x="82"/>
        <item x="346"/>
        <item x="232"/>
        <item x="407"/>
        <item x="35"/>
        <item x="271"/>
        <item x="46"/>
        <item x="345"/>
        <item x="452"/>
        <item x="71"/>
        <item x="1"/>
        <item x="63"/>
        <item x="107"/>
        <item x="259"/>
        <item x="388"/>
        <item x="489"/>
        <item x="118"/>
        <item x="315"/>
        <item x="224"/>
        <item x="75"/>
        <item x="65"/>
        <item x="279"/>
        <item x="396"/>
        <item x="120"/>
        <item x="347"/>
        <item x="256"/>
        <item x="272"/>
        <item x="222"/>
        <item x="152"/>
        <item x="404"/>
        <item x="60"/>
        <item x="414"/>
        <item x="413"/>
        <item x="412"/>
        <item x="465"/>
        <item x="25"/>
        <item x="80"/>
        <item x="95"/>
        <item x="454"/>
        <item x="225"/>
        <item x="372"/>
        <item x="385"/>
        <item x="348"/>
        <item x="138"/>
        <item x="233"/>
        <item x="230"/>
        <item x="446"/>
        <item x="429"/>
        <item x="37"/>
        <item x="187"/>
        <item x="365"/>
        <item x="363"/>
        <item x="472"/>
        <item x="332"/>
        <item x="267"/>
        <item x="163"/>
        <item x="462"/>
        <item x="331"/>
        <item x="321"/>
        <item x="217"/>
        <item x="27"/>
        <item x="392"/>
        <item x="212"/>
        <item x="184"/>
        <item x="162"/>
        <item x="150"/>
        <item x="380"/>
        <item x="327"/>
        <item x="214"/>
        <item x="263"/>
        <item x="445"/>
        <item x="317"/>
        <item x="199"/>
        <item x="368"/>
        <item x="339"/>
        <item x="235"/>
        <item x="296"/>
        <item x="338"/>
        <item x="178"/>
        <item x="395"/>
        <item x="169"/>
        <item x="110"/>
        <item x="448"/>
        <item x="4"/>
        <item x="171"/>
        <item x="253"/>
        <item x="61"/>
        <item x="250"/>
        <item x="85"/>
        <item x="457"/>
        <item x="416"/>
        <item x="16"/>
        <item x="174"/>
        <item x="124"/>
        <item x="122"/>
        <item t="default"/>
      </items>
    </pivotField>
  </pivotFields>
  <rowFields count="1">
    <field x="11"/>
  </rowFields>
  <rowItems count="11">
    <i>
      <x v="5"/>
    </i>
    <i>
      <x v="8"/>
    </i>
    <i>
      <x v="11"/>
    </i>
    <i>
      <x v="31"/>
    </i>
    <i>
      <x v="50"/>
    </i>
    <i>
      <x v="120"/>
    </i>
    <i>
      <x v="145"/>
    </i>
    <i>
      <x v="185"/>
    </i>
    <i>
      <x v="212"/>
    </i>
    <i>
      <x v="215"/>
    </i>
    <i t="grand">
      <x/>
    </i>
  </rowItems>
  <colItems count="1">
    <i/>
  </colItems>
  <dataFields count="1">
    <dataField name="Sum of Revenue" fld="3" baseField="0" baseItem="0" numFmtId="166"/>
  </dataFields>
  <formats count="6">
    <format dxfId="81">
      <pivotArea type="all" dataOnly="0" outline="0" fieldPosition="0"/>
    </format>
    <format dxfId="80">
      <pivotArea outline="0" collapsedLevelsAreSubtotals="1" fieldPosition="0"/>
    </format>
    <format dxfId="79">
      <pivotArea field="11" type="button" dataOnly="0" labelOnly="1" outline="0" axis="axisRow" fieldPosition="0"/>
    </format>
    <format dxfId="78">
      <pivotArea dataOnly="0" labelOnly="1" fieldPosition="0">
        <references count="1">
          <reference field="11" count="10">
            <x v="5"/>
            <x v="8"/>
            <x v="13"/>
            <x v="45"/>
            <x v="46"/>
            <x v="62"/>
            <x v="83"/>
            <x v="120"/>
            <x v="181"/>
            <x v="224"/>
          </reference>
        </references>
      </pivotArea>
    </format>
    <format dxfId="77">
      <pivotArea dataOnly="0" labelOnly="1" grandRow="1" outline="0" fieldPosition="0"/>
    </format>
    <format dxfId="76">
      <pivotArea dataOnly="0" labelOnly="1" outline="0" axis="axisValues" fieldPosition="0"/>
    </format>
  </format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DD44E6-D8CA-4572-B472-5ACE208DA3FB}"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H28:J34" firstHeaderRow="0" firstDataRow="1" firstDataCol="1"/>
  <pivotFields count="17">
    <pivotField numFmtId="14" showAll="0"/>
    <pivotField showAll="0">
      <items count="5">
        <item x="0"/>
        <item x="2"/>
        <item x="1"/>
        <item x="3"/>
        <item t="default"/>
      </items>
    </pivotField>
    <pivotField showAll="0">
      <items count="7">
        <item x="4"/>
        <item x="5"/>
        <item x="3"/>
        <item x="1"/>
        <item x="2"/>
        <item x="0"/>
        <item t="default"/>
      </items>
    </pivotField>
    <pivotField showAll="0"/>
    <pivotField showAll="0"/>
    <pivotField showAll="0"/>
    <pivotField showAll="0"/>
    <pivotField showAll="0"/>
    <pivotField showAll="0"/>
    <pivotField axis="axisRow" showAll="0">
      <items count="6">
        <item x="0"/>
        <item x="3"/>
        <item x="2"/>
        <item x="4"/>
        <item x="1"/>
        <item t="default"/>
      </items>
    </pivotField>
    <pivotField showAll="0"/>
    <pivotField showAll="0"/>
    <pivotField showAll="0"/>
    <pivotField dataField="1" showAll="0"/>
    <pivotField showAll="0"/>
    <pivotField showAll="0">
      <items count="13">
        <item h="1" x="0"/>
        <item h="1" x="1"/>
        <item h="1" x="2"/>
        <item h="1" x="3"/>
        <item h="1" x="4"/>
        <item h="1" x="5"/>
        <item h="1" x="6"/>
        <item h="1" x="7"/>
        <item h="1" x="8"/>
        <item x="9"/>
        <item h="1" x="10"/>
        <item h="1" x="11"/>
        <item t="default"/>
      </items>
    </pivotField>
    <pivotField dataField="1" showAll="0">
      <items count="500">
        <item x="139"/>
        <item x="220"/>
        <item x="115"/>
        <item x="208"/>
        <item x="210"/>
        <item x="319"/>
        <item x="47"/>
        <item x="31"/>
        <item x="481"/>
        <item x="433"/>
        <item x="196"/>
        <item x="55"/>
        <item x="248"/>
        <item x="203"/>
        <item x="450"/>
        <item x="156"/>
        <item x="456"/>
        <item x="238"/>
        <item x="451"/>
        <item x="177"/>
        <item x="482"/>
        <item x="79"/>
        <item x="369"/>
        <item x="167"/>
        <item x="441"/>
        <item x="364"/>
        <item x="26"/>
        <item x="72"/>
        <item x="49"/>
        <item x="112"/>
        <item x="40"/>
        <item x="342"/>
        <item x="218"/>
        <item x="252"/>
        <item x="371"/>
        <item x="186"/>
        <item x="200"/>
        <item x="475"/>
        <item x="5"/>
        <item x="251"/>
        <item x="155"/>
        <item x="22"/>
        <item x="81"/>
        <item x="160"/>
        <item x="461"/>
        <item x="19"/>
        <item x="439"/>
        <item x="378"/>
        <item x="276"/>
        <item x="423"/>
        <item x="223"/>
        <item x="67"/>
        <item x="148"/>
        <item x="94"/>
        <item x="443"/>
        <item x="108"/>
        <item x="201"/>
        <item x="287"/>
        <item x="6"/>
        <item x="466"/>
        <item x="292"/>
        <item x="129"/>
        <item x="173"/>
        <item x="366"/>
        <item x="121"/>
        <item x="204"/>
        <item x="356"/>
        <item x="189"/>
        <item x="45"/>
        <item x="438"/>
        <item x="73"/>
        <item x="437"/>
        <item x="89"/>
        <item x="69"/>
        <item x="424"/>
        <item x="383"/>
        <item x="92"/>
        <item x="56"/>
        <item x="447"/>
        <item x="417"/>
        <item x="278"/>
        <item x="216"/>
        <item x="254"/>
        <item x="384"/>
        <item x="425"/>
        <item x="11"/>
        <item x="264"/>
        <item x="428"/>
        <item x="397"/>
        <item x="181"/>
        <item x="464"/>
        <item x="434"/>
        <item x="137"/>
        <item x="307"/>
        <item x="367"/>
        <item x="337"/>
        <item x="275"/>
        <item x="123"/>
        <item x="476"/>
        <item x="299"/>
        <item x="334"/>
        <item x="373"/>
        <item x="350"/>
        <item x="389"/>
        <item x="442"/>
        <item x="14"/>
        <item x="304"/>
        <item x="343"/>
        <item x="284"/>
        <item x="30"/>
        <item x="309"/>
        <item x="361"/>
        <item x="311"/>
        <item x="386"/>
        <item x="234"/>
        <item x="229"/>
        <item x="165"/>
        <item x="402"/>
        <item x="86"/>
        <item x="255"/>
        <item x="498"/>
        <item x="382"/>
        <item x="207"/>
        <item x="344"/>
        <item x="241"/>
        <item x="53"/>
        <item x="406"/>
        <item x="239"/>
        <item x="102"/>
        <item x="374"/>
        <item x="182"/>
        <item x="420"/>
        <item x="335"/>
        <item x="399"/>
        <item x="242"/>
        <item x="323"/>
        <item x="227"/>
        <item x="29"/>
        <item x="302"/>
        <item x="387"/>
        <item x="269"/>
        <item x="84"/>
        <item x="484"/>
        <item x="180"/>
        <item x="244"/>
        <item x="470"/>
        <item x="291"/>
        <item x="41"/>
        <item x="297"/>
        <item x="325"/>
        <item x="310"/>
        <item x="427"/>
        <item x="48"/>
        <item x="158"/>
        <item x="408"/>
        <item x="146"/>
        <item x="440"/>
        <item x="265"/>
        <item x="149"/>
        <item x="360"/>
        <item x="410"/>
        <item x="333"/>
        <item x="449"/>
        <item x="192"/>
        <item x="280"/>
        <item x="268"/>
        <item x="468"/>
        <item x="247"/>
        <item x="219"/>
        <item x="349"/>
        <item x="281"/>
        <item x="477"/>
        <item x="262"/>
        <item x="274"/>
        <item x="96"/>
        <item x="283"/>
        <item x="474"/>
        <item x="312"/>
        <item x="354"/>
        <item x="401"/>
        <item x="145"/>
        <item x="132"/>
        <item x="194"/>
        <item x="111"/>
        <item x="176"/>
        <item x="390"/>
        <item x="125"/>
        <item x="260"/>
        <item x="409"/>
        <item x="485"/>
        <item x="479"/>
        <item x="357"/>
        <item x="249"/>
        <item x="324"/>
        <item x="32"/>
        <item x="403"/>
        <item x="488"/>
        <item x="320"/>
        <item x="133"/>
        <item x="90"/>
        <item x="117"/>
        <item x="306"/>
        <item x="202"/>
        <item x="34"/>
        <item x="147"/>
        <item x="336"/>
        <item x="322"/>
        <item x="415"/>
        <item x="17"/>
        <item x="282"/>
        <item x="209"/>
        <item x="68"/>
        <item x="294"/>
        <item x="245"/>
        <item x="237"/>
        <item x="109"/>
        <item x="195"/>
        <item x="51"/>
        <item x="226"/>
        <item x="231"/>
        <item x="377"/>
        <item x="491"/>
        <item x="426"/>
        <item x="54"/>
        <item x="70"/>
        <item x="113"/>
        <item x="330"/>
        <item x="298"/>
        <item x="3"/>
        <item x="142"/>
        <item x="157"/>
        <item x="127"/>
        <item x="340"/>
        <item x="352"/>
        <item x="487"/>
        <item x="418"/>
        <item x="480"/>
        <item x="266"/>
        <item x="170"/>
        <item x="459"/>
        <item x="497"/>
        <item x="236"/>
        <item x="33"/>
        <item x="435"/>
        <item x="430"/>
        <item x="341"/>
        <item x="38"/>
        <item x="136"/>
        <item x="358"/>
        <item x="175"/>
        <item x="205"/>
        <item x="376"/>
        <item x="243"/>
        <item x="78"/>
        <item x="101"/>
        <item x="64"/>
        <item x="100"/>
        <item x="105"/>
        <item x="455"/>
        <item x="21"/>
        <item x="288"/>
        <item x="211"/>
        <item x="20"/>
        <item x="370"/>
        <item x="460"/>
        <item x="329"/>
        <item x="144"/>
        <item x="393"/>
        <item x="168"/>
        <item x="130"/>
        <item x="258"/>
        <item x="151"/>
        <item x="143"/>
        <item x="273"/>
        <item x="131"/>
        <item x="166"/>
        <item x="87"/>
        <item x="91"/>
        <item x="471"/>
        <item x="183"/>
        <item x="228"/>
        <item x="198"/>
        <item x="355"/>
        <item x="0"/>
        <item x="88"/>
        <item x="206"/>
        <item x="318"/>
        <item x="308"/>
        <item x="104"/>
        <item x="286"/>
        <item x="277"/>
        <item x="467"/>
        <item x="164"/>
        <item x="494"/>
        <item x="257"/>
        <item x="172"/>
        <item x="154"/>
        <item x="432"/>
        <item x="270"/>
        <item x="97"/>
        <item x="496"/>
        <item x="326"/>
        <item x="353"/>
        <item x="119"/>
        <item x="246"/>
        <item x="12"/>
        <item x="52"/>
        <item x="458"/>
        <item x="76"/>
        <item x="305"/>
        <item x="141"/>
        <item x="422"/>
        <item x="59"/>
        <item x="469"/>
        <item x="44"/>
        <item x="351"/>
        <item x="492"/>
        <item x="221"/>
        <item x="190"/>
        <item x="290"/>
        <item x="411"/>
        <item x="135"/>
        <item x="495"/>
        <item x="314"/>
        <item x="126"/>
        <item x="83"/>
        <item x="486"/>
        <item x="128"/>
        <item x="153"/>
        <item x="114"/>
        <item x="39"/>
        <item x="74"/>
        <item x="300"/>
        <item x="453"/>
        <item x="18"/>
        <item x="23"/>
        <item x="2"/>
        <item x="134"/>
        <item x="7"/>
        <item x="375"/>
        <item x="50"/>
        <item x="140"/>
        <item x="394"/>
        <item x="215"/>
        <item x="93"/>
        <item x="362"/>
        <item x="490"/>
        <item x="483"/>
        <item x="15"/>
        <item x="57"/>
        <item x="379"/>
        <item x="293"/>
        <item x="405"/>
        <item x="191"/>
        <item x="9"/>
        <item x="62"/>
        <item x="478"/>
        <item x="28"/>
        <item x="13"/>
        <item x="24"/>
        <item x="289"/>
        <item x="431"/>
        <item x="159"/>
        <item x="391"/>
        <item x="77"/>
        <item x="313"/>
        <item x="42"/>
        <item x="240"/>
        <item x="106"/>
        <item x="43"/>
        <item x="116"/>
        <item x="185"/>
        <item x="493"/>
        <item x="316"/>
        <item x="98"/>
        <item x="400"/>
        <item x="328"/>
        <item x="301"/>
        <item x="197"/>
        <item x="398"/>
        <item x="444"/>
        <item x="359"/>
        <item x="295"/>
        <item x="473"/>
        <item x="303"/>
        <item x="10"/>
        <item x="179"/>
        <item x="36"/>
        <item x="188"/>
        <item x="66"/>
        <item x="261"/>
        <item x="436"/>
        <item x="8"/>
        <item x="161"/>
        <item x="285"/>
        <item x="193"/>
        <item x="58"/>
        <item x="421"/>
        <item x="213"/>
        <item x="463"/>
        <item x="99"/>
        <item x="103"/>
        <item x="381"/>
        <item x="419"/>
        <item x="82"/>
        <item x="346"/>
        <item x="232"/>
        <item x="407"/>
        <item x="35"/>
        <item x="271"/>
        <item x="46"/>
        <item x="345"/>
        <item x="452"/>
        <item x="71"/>
        <item x="1"/>
        <item x="63"/>
        <item x="107"/>
        <item x="259"/>
        <item x="388"/>
        <item x="489"/>
        <item x="118"/>
        <item x="315"/>
        <item x="224"/>
        <item x="75"/>
        <item x="65"/>
        <item x="279"/>
        <item x="396"/>
        <item x="120"/>
        <item x="347"/>
        <item x="256"/>
        <item x="272"/>
        <item x="222"/>
        <item x="152"/>
        <item x="404"/>
        <item x="60"/>
        <item x="414"/>
        <item x="413"/>
        <item x="412"/>
        <item x="465"/>
        <item x="25"/>
        <item x="80"/>
        <item x="95"/>
        <item x="454"/>
        <item x="225"/>
        <item x="372"/>
        <item x="385"/>
        <item x="348"/>
        <item x="138"/>
        <item x="233"/>
        <item x="230"/>
        <item x="446"/>
        <item x="429"/>
        <item x="37"/>
        <item x="187"/>
        <item x="365"/>
        <item x="363"/>
        <item x="472"/>
        <item x="332"/>
        <item x="267"/>
        <item x="163"/>
        <item x="462"/>
        <item x="331"/>
        <item x="321"/>
        <item x="217"/>
        <item x="27"/>
        <item x="392"/>
        <item x="212"/>
        <item x="184"/>
        <item x="162"/>
        <item x="150"/>
        <item x="380"/>
        <item x="327"/>
        <item x="214"/>
        <item x="263"/>
        <item x="445"/>
        <item x="317"/>
        <item x="199"/>
        <item x="368"/>
        <item x="339"/>
        <item x="235"/>
        <item x="296"/>
        <item x="338"/>
        <item x="178"/>
        <item x="395"/>
        <item x="169"/>
        <item x="110"/>
        <item x="448"/>
        <item x="4"/>
        <item x="171"/>
        <item x="253"/>
        <item x="61"/>
        <item x="250"/>
        <item x="85"/>
        <item x="457"/>
        <item x="416"/>
        <item x="16"/>
        <item x="174"/>
        <item x="124"/>
        <item x="122"/>
        <item t="default"/>
      </items>
    </pivotField>
  </pivotFields>
  <rowFields count="1">
    <field x="9"/>
  </rowFields>
  <rowItems count="6">
    <i>
      <x/>
    </i>
    <i>
      <x v="1"/>
    </i>
    <i>
      <x v="2"/>
    </i>
    <i>
      <x v="3"/>
    </i>
    <i>
      <x v="4"/>
    </i>
    <i t="grand">
      <x/>
    </i>
  </rowItems>
  <colFields count="1">
    <field x="-2"/>
  </colFields>
  <colItems count="2">
    <i>
      <x/>
    </i>
    <i i="1">
      <x v="1"/>
    </i>
  </colItems>
  <dataFields count="2">
    <dataField name="Sum of Actual Profit" fld="16" baseField="0" baseItem="0"/>
    <dataField name="Sum of Budget Profit" fld="13" baseField="0" baseItem="0"/>
  </dataFields>
  <formats count="1">
    <format dxfId="82">
      <pivotArea outline="0" collapsedLevelsAreSubtotals="1" fieldPosition="0"/>
    </format>
  </formats>
  <chartFormats count="2">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2B168F-A8BC-4345-BF14-41F9874C82E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D3:F5" firstHeaderRow="0" firstDataRow="1" firstDataCol="1"/>
  <pivotFields count="17">
    <pivotField numFmtId="14" showAll="0"/>
    <pivotField showAll="0">
      <items count="5">
        <item x="0"/>
        <item x="2"/>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h="1" x="0"/>
        <item h="1" x="1"/>
        <item h="1" x="2"/>
        <item h="1" x="3"/>
        <item h="1" x="4"/>
        <item h="1" x="5"/>
        <item h="1" x="6"/>
        <item h="1" x="7"/>
        <item h="1" x="8"/>
        <item x="9"/>
        <item h="1" x="10"/>
        <item h="1" x="11"/>
        <item t="default"/>
      </items>
    </pivotField>
    <pivotField dataField="1" showAll="0"/>
  </pivotFields>
  <rowFields count="1">
    <field x="15"/>
  </rowFields>
  <rowItems count="2">
    <i>
      <x v="9"/>
    </i>
    <i t="grand">
      <x/>
    </i>
  </rowItems>
  <colFields count="1">
    <field x="-2"/>
  </colFields>
  <colItems count="2">
    <i>
      <x/>
    </i>
    <i i="1">
      <x v="1"/>
    </i>
  </colItems>
  <dataFields count="2">
    <dataField name="Sum of Revenue" fld="3" baseField="0" baseItem="0"/>
    <dataField name="Sum of Actual Profit" fld="16" baseField="0" baseItem="0"/>
  </dataFields>
  <formats count="2">
    <format dxfId="84">
      <pivotArea outline="0" collapsedLevelsAreSubtotals="1" fieldPosition="0"/>
    </format>
    <format dxfId="83">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96DB21-E44E-48B1-BC2D-15E01363F375}"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L28:M39" firstHeaderRow="1" firstDataRow="1" firstDataCol="1"/>
  <pivotFields count="17">
    <pivotField numFmtId="14" showAll="0"/>
    <pivotField showAll="0">
      <items count="5">
        <item x="0"/>
        <item x="2"/>
        <item x="1"/>
        <item x="3"/>
        <item t="default"/>
      </items>
    </pivotField>
    <pivotField showAll="0">
      <items count="7">
        <item x="4"/>
        <item x="5"/>
        <item x="3"/>
        <item x="1"/>
        <item x="2"/>
        <item x="0"/>
        <item t="default"/>
      </items>
    </pivotField>
    <pivotField showAll="0"/>
    <pivotField dataField="1" showAll="0"/>
    <pivotField showAll="0"/>
    <pivotField showAll="0"/>
    <pivotField showAll="0"/>
    <pivotField showAll="0"/>
    <pivotField showAll="0">
      <items count="6">
        <item x="0"/>
        <item x="3"/>
        <item x="2"/>
        <item x="4"/>
        <item x="1"/>
        <item t="default"/>
      </items>
    </pivotField>
    <pivotField axis="axisRow" showAll="0">
      <items count="11">
        <item x="5"/>
        <item x="2"/>
        <item x="0"/>
        <item x="1"/>
        <item x="4"/>
        <item x="3"/>
        <item x="6"/>
        <item x="8"/>
        <item x="7"/>
        <item x="9"/>
        <item t="default"/>
      </items>
    </pivotField>
    <pivotField showAll="0"/>
    <pivotField showAll="0"/>
    <pivotField showAll="0"/>
    <pivotField showAll="0"/>
    <pivotField showAll="0">
      <items count="13">
        <item h="1" x="0"/>
        <item h="1" x="1"/>
        <item h="1" x="2"/>
        <item h="1" x="3"/>
        <item h="1" x="4"/>
        <item h="1" x="5"/>
        <item h="1" x="6"/>
        <item h="1" x="7"/>
        <item h="1" x="8"/>
        <item x="9"/>
        <item h="1" x="10"/>
        <item h="1" x="11"/>
        <item t="default"/>
      </items>
    </pivotField>
    <pivotField showAll="0">
      <items count="500">
        <item x="139"/>
        <item x="220"/>
        <item x="115"/>
        <item x="208"/>
        <item x="210"/>
        <item x="319"/>
        <item x="47"/>
        <item x="31"/>
        <item x="481"/>
        <item x="433"/>
        <item x="196"/>
        <item x="55"/>
        <item x="248"/>
        <item x="203"/>
        <item x="450"/>
        <item x="156"/>
        <item x="456"/>
        <item x="238"/>
        <item x="451"/>
        <item x="177"/>
        <item x="482"/>
        <item x="79"/>
        <item x="369"/>
        <item x="167"/>
        <item x="441"/>
        <item x="364"/>
        <item x="26"/>
        <item x="72"/>
        <item x="49"/>
        <item x="112"/>
        <item x="40"/>
        <item x="342"/>
        <item x="218"/>
        <item x="252"/>
        <item x="371"/>
        <item x="186"/>
        <item x="200"/>
        <item x="475"/>
        <item x="5"/>
        <item x="251"/>
        <item x="155"/>
        <item x="22"/>
        <item x="81"/>
        <item x="160"/>
        <item x="461"/>
        <item x="19"/>
        <item x="439"/>
        <item x="378"/>
        <item x="276"/>
        <item x="423"/>
        <item x="223"/>
        <item x="67"/>
        <item x="148"/>
        <item x="94"/>
        <item x="443"/>
        <item x="108"/>
        <item x="201"/>
        <item x="287"/>
        <item x="6"/>
        <item x="466"/>
        <item x="292"/>
        <item x="129"/>
        <item x="173"/>
        <item x="366"/>
        <item x="121"/>
        <item x="204"/>
        <item x="356"/>
        <item x="189"/>
        <item x="45"/>
        <item x="438"/>
        <item x="73"/>
        <item x="437"/>
        <item x="89"/>
        <item x="69"/>
        <item x="424"/>
        <item x="383"/>
        <item x="92"/>
        <item x="56"/>
        <item x="447"/>
        <item x="417"/>
        <item x="278"/>
        <item x="216"/>
        <item x="254"/>
        <item x="384"/>
        <item x="425"/>
        <item x="11"/>
        <item x="264"/>
        <item x="428"/>
        <item x="397"/>
        <item x="181"/>
        <item x="464"/>
        <item x="434"/>
        <item x="137"/>
        <item x="307"/>
        <item x="367"/>
        <item x="337"/>
        <item x="275"/>
        <item x="123"/>
        <item x="476"/>
        <item x="299"/>
        <item x="334"/>
        <item x="373"/>
        <item x="350"/>
        <item x="389"/>
        <item x="442"/>
        <item x="14"/>
        <item x="304"/>
        <item x="343"/>
        <item x="284"/>
        <item x="30"/>
        <item x="309"/>
        <item x="361"/>
        <item x="311"/>
        <item x="386"/>
        <item x="234"/>
        <item x="229"/>
        <item x="165"/>
        <item x="402"/>
        <item x="86"/>
        <item x="255"/>
        <item x="498"/>
        <item x="382"/>
        <item x="207"/>
        <item x="344"/>
        <item x="241"/>
        <item x="53"/>
        <item x="406"/>
        <item x="239"/>
        <item x="102"/>
        <item x="374"/>
        <item x="182"/>
        <item x="420"/>
        <item x="335"/>
        <item x="399"/>
        <item x="242"/>
        <item x="323"/>
        <item x="227"/>
        <item x="29"/>
        <item x="302"/>
        <item x="387"/>
        <item x="269"/>
        <item x="84"/>
        <item x="484"/>
        <item x="180"/>
        <item x="244"/>
        <item x="470"/>
        <item x="291"/>
        <item x="41"/>
        <item x="297"/>
        <item x="325"/>
        <item x="310"/>
        <item x="427"/>
        <item x="48"/>
        <item x="158"/>
        <item x="408"/>
        <item x="146"/>
        <item x="440"/>
        <item x="265"/>
        <item x="149"/>
        <item x="360"/>
        <item x="410"/>
        <item x="333"/>
        <item x="449"/>
        <item x="192"/>
        <item x="280"/>
        <item x="268"/>
        <item x="468"/>
        <item x="247"/>
        <item x="219"/>
        <item x="349"/>
        <item x="281"/>
        <item x="477"/>
        <item x="262"/>
        <item x="274"/>
        <item x="96"/>
        <item x="283"/>
        <item x="474"/>
        <item x="312"/>
        <item x="354"/>
        <item x="401"/>
        <item x="145"/>
        <item x="132"/>
        <item x="194"/>
        <item x="111"/>
        <item x="176"/>
        <item x="390"/>
        <item x="125"/>
        <item x="260"/>
        <item x="409"/>
        <item x="485"/>
        <item x="479"/>
        <item x="357"/>
        <item x="249"/>
        <item x="324"/>
        <item x="32"/>
        <item x="403"/>
        <item x="488"/>
        <item x="320"/>
        <item x="133"/>
        <item x="90"/>
        <item x="117"/>
        <item x="306"/>
        <item x="202"/>
        <item x="34"/>
        <item x="147"/>
        <item x="336"/>
        <item x="322"/>
        <item x="415"/>
        <item x="17"/>
        <item x="282"/>
        <item x="209"/>
        <item x="68"/>
        <item x="294"/>
        <item x="245"/>
        <item x="237"/>
        <item x="109"/>
        <item x="195"/>
        <item x="51"/>
        <item x="226"/>
        <item x="231"/>
        <item x="377"/>
        <item x="491"/>
        <item x="426"/>
        <item x="54"/>
        <item x="70"/>
        <item x="113"/>
        <item x="330"/>
        <item x="298"/>
        <item x="3"/>
        <item x="142"/>
        <item x="157"/>
        <item x="127"/>
        <item x="340"/>
        <item x="352"/>
        <item x="487"/>
        <item x="418"/>
        <item x="480"/>
        <item x="266"/>
        <item x="170"/>
        <item x="459"/>
        <item x="497"/>
        <item x="236"/>
        <item x="33"/>
        <item x="435"/>
        <item x="430"/>
        <item x="341"/>
        <item x="38"/>
        <item x="136"/>
        <item x="358"/>
        <item x="175"/>
        <item x="205"/>
        <item x="376"/>
        <item x="243"/>
        <item x="78"/>
        <item x="101"/>
        <item x="64"/>
        <item x="100"/>
        <item x="105"/>
        <item x="455"/>
        <item x="21"/>
        <item x="288"/>
        <item x="211"/>
        <item x="20"/>
        <item x="370"/>
        <item x="460"/>
        <item x="329"/>
        <item x="144"/>
        <item x="393"/>
        <item x="168"/>
        <item x="130"/>
        <item x="258"/>
        <item x="151"/>
        <item x="143"/>
        <item x="273"/>
        <item x="131"/>
        <item x="166"/>
        <item x="87"/>
        <item x="91"/>
        <item x="471"/>
        <item x="183"/>
        <item x="228"/>
        <item x="198"/>
        <item x="355"/>
        <item x="0"/>
        <item x="88"/>
        <item x="206"/>
        <item x="318"/>
        <item x="308"/>
        <item x="104"/>
        <item x="286"/>
        <item x="277"/>
        <item x="467"/>
        <item x="164"/>
        <item x="494"/>
        <item x="257"/>
        <item x="172"/>
        <item x="154"/>
        <item x="432"/>
        <item x="270"/>
        <item x="97"/>
        <item x="496"/>
        <item x="326"/>
        <item x="353"/>
        <item x="119"/>
        <item x="246"/>
        <item x="12"/>
        <item x="52"/>
        <item x="458"/>
        <item x="76"/>
        <item x="305"/>
        <item x="141"/>
        <item x="422"/>
        <item x="59"/>
        <item x="469"/>
        <item x="44"/>
        <item x="351"/>
        <item x="492"/>
        <item x="221"/>
        <item x="190"/>
        <item x="290"/>
        <item x="411"/>
        <item x="135"/>
        <item x="495"/>
        <item x="314"/>
        <item x="126"/>
        <item x="83"/>
        <item x="486"/>
        <item x="128"/>
        <item x="153"/>
        <item x="114"/>
        <item x="39"/>
        <item x="74"/>
        <item x="300"/>
        <item x="453"/>
        <item x="18"/>
        <item x="23"/>
        <item x="2"/>
        <item x="134"/>
        <item x="7"/>
        <item x="375"/>
        <item x="50"/>
        <item x="140"/>
        <item x="394"/>
        <item x="215"/>
        <item x="93"/>
        <item x="362"/>
        <item x="490"/>
        <item x="483"/>
        <item x="15"/>
        <item x="57"/>
        <item x="379"/>
        <item x="293"/>
        <item x="405"/>
        <item x="191"/>
        <item x="9"/>
        <item x="62"/>
        <item x="478"/>
        <item x="28"/>
        <item x="13"/>
        <item x="24"/>
        <item x="289"/>
        <item x="431"/>
        <item x="159"/>
        <item x="391"/>
        <item x="77"/>
        <item x="313"/>
        <item x="42"/>
        <item x="240"/>
        <item x="106"/>
        <item x="43"/>
        <item x="116"/>
        <item x="185"/>
        <item x="493"/>
        <item x="316"/>
        <item x="98"/>
        <item x="400"/>
        <item x="328"/>
        <item x="301"/>
        <item x="197"/>
        <item x="398"/>
        <item x="444"/>
        <item x="359"/>
        <item x="295"/>
        <item x="473"/>
        <item x="303"/>
        <item x="10"/>
        <item x="179"/>
        <item x="36"/>
        <item x="188"/>
        <item x="66"/>
        <item x="261"/>
        <item x="436"/>
        <item x="8"/>
        <item x="161"/>
        <item x="285"/>
        <item x="193"/>
        <item x="58"/>
        <item x="421"/>
        <item x="213"/>
        <item x="463"/>
        <item x="99"/>
        <item x="103"/>
        <item x="381"/>
        <item x="419"/>
        <item x="82"/>
        <item x="346"/>
        <item x="232"/>
        <item x="407"/>
        <item x="35"/>
        <item x="271"/>
        <item x="46"/>
        <item x="345"/>
        <item x="452"/>
        <item x="71"/>
        <item x="1"/>
        <item x="63"/>
        <item x="107"/>
        <item x="259"/>
        <item x="388"/>
        <item x="489"/>
        <item x="118"/>
        <item x="315"/>
        <item x="224"/>
        <item x="75"/>
        <item x="65"/>
        <item x="279"/>
        <item x="396"/>
        <item x="120"/>
        <item x="347"/>
        <item x="256"/>
        <item x="272"/>
        <item x="222"/>
        <item x="152"/>
        <item x="404"/>
        <item x="60"/>
        <item x="414"/>
        <item x="413"/>
        <item x="412"/>
        <item x="465"/>
        <item x="25"/>
        <item x="80"/>
        <item x="95"/>
        <item x="454"/>
        <item x="225"/>
        <item x="372"/>
        <item x="385"/>
        <item x="348"/>
        <item x="138"/>
        <item x="233"/>
        <item x="230"/>
        <item x="446"/>
        <item x="429"/>
        <item x="37"/>
        <item x="187"/>
        <item x="365"/>
        <item x="363"/>
        <item x="472"/>
        <item x="332"/>
        <item x="267"/>
        <item x="163"/>
        <item x="462"/>
        <item x="331"/>
        <item x="321"/>
        <item x="217"/>
        <item x="27"/>
        <item x="392"/>
        <item x="212"/>
        <item x="184"/>
        <item x="162"/>
        <item x="150"/>
        <item x="380"/>
        <item x="327"/>
        <item x="214"/>
        <item x="263"/>
        <item x="445"/>
        <item x="317"/>
        <item x="199"/>
        <item x="368"/>
        <item x="339"/>
        <item x="235"/>
        <item x="296"/>
        <item x="338"/>
        <item x="178"/>
        <item x="395"/>
        <item x="169"/>
        <item x="110"/>
        <item x="448"/>
        <item x="4"/>
        <item x="171"/>
        <item x="253"/>
        <item x="61"/>
        <item x="250"/>
        <item x="85"/>
        <item x="457"/>
        <item x="416"/>
        <item x="16"/>
        <item x="174"/>
        <item x="124"/>
        <item x="122"/>
        <item t="default"/>
      </items>
    </pivotField>
  </pivotFields>
  <rowFields count="1">
    <field x="10"/>
  </rowFields>
  <rowItems count="11">
    <i>
      <x/>
    </i>
    <i>
      <x v="1"/>
    </i>
    <i>
      <x v="2"/>
    </i>
    <i>
      <x v="3"/>
    </i>
    <i>
      <x v="4"/>
    </i>
    <i>
      <x v="5"/>
    </i>
    <i>
      <x v="6"/>
    </i>
    <i>
      <x v="7"/>
    </i>
    <i>
      <x v="8"/>
    </i>
    <i>
      <x v="9"/>
    </i>
    <i t="grand">
      <x/>
    </i>
  </rowItems>
  <colItems count="1">
    <i/>
  </colItems>
  <dataFields count="1">
    <dataField name="Sum of Expenses" fld="4" baseField="0" baseItem="0"/>
  </dataFields>
  <formats count="1">
    <format dxfId="85">
      <pivotArea outline="0" collapsedLevelsAreSubtotals="1" fieldPosition="0"/>
    </format>
  </formats>
  <chartFormats count="11">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10" count="1" selected="0">
            <x v="0"/>
          </reference>
        </references>
      </pivotArea>
    </chartFormat>
    <chartFormat chart="25" format="14">
      <pivotArea type="data" outline="0" fieldPosition="0">
        <references count="2">
          <reference field="4294967294" count="1" selected="0">
            <x v="0"/>
          </reference>
          <reference field="10" count="1" selected="0">
            <x v="1"/>
          </reference>
        </references>
      </pivotArea>
    </chartFormat>
    <chartFormat chart="25" format="15">
      <pivotArea type="data" outline="0" fieldPosition="0">
        <references count="2">
          <reference field="4294967294" count="1" selected="0">
            <x v="0"/>
          </reference>
          <reference field="10" count="1" selected="0">
            <x v="2"/>
          </reference>
        </references>
      </pivotArea>
    </chartFormat>
    <chartFormat chart="25" format="16">
      <pivotArea type="data" outline="0" fieldPosition="0">
        <references count="2">
          <reference field="4294967294" count="1" selected="0">
            <x v="0"/>
          </reference>
          <reference field="10" count="1" selected="0">
            <x v="3"/>
          </reference>
        </references>
      </pivotArea>
    </chartFormat>
    <chartFormat chart="25" format="17">
      <pivotArea type="data" outline="0" fieldPosition="0">
        <references count="2">
          <reference field="4294967294" count="1" selected="0">
            <x v="0"/>
          </reference>
          <reference field="10" count="1" selected="0">
            <x v="4"/>
          </reference>
        </references>
      </pivotArea>
    </chartFormat>
    <chartFormat chart="25" format="18">
      <pivotArea type="data" outline="0" fieldPosition="0">
        <references count="2">
          <reference field="4294967294" count="1" selected="0">
            <x v="0"/>
          </reference>
          <reference field="10" count="1" selected="0">
            <x v="5"/>
          </reference>
        </references>
      </pivotArea>
    </chartFormat>
    <chartFormat chart="25" format="19">
      <pivotArea type="data" outline="0" fieldPosition="0">
        <references count="2">
          <reference field="4294967294" count="1" selected="0">
            <x v="0"/>
          </reference>
          <reference field="10" count="1" selected="0">
            <x v="6"/>
          </reference>
        </references>
      </pivotArea>
    </chartFormat>
    <chartFormat chart="25" format="20">
      <pivotArea type="data" outline="0" fieldPosition="0">
        <references count="2">
          <reference field="4294967294" count="1" selected="0">
            <x v="0"/>
          </reference>
          <reference field="10" count="1" selected="0">
            <x v="7"/>
          </reference>
        </references>
      </pivotArea>
    </chartFormat>
    <chartFormat chart="25" format="21">
      <pivotArea type="data" outline="0" fieldPosition="0">
        <references count="2">
          <reference field="4294967294" count="1" selected="0">
            <x v="0"/>
          </reference>
          <reference field="10" count="1" selected="0">
            <x v="8"/>
          </reference>
        </references>
      </pivotArea>
    </chartFormat>
    <chartFormat chart="25" format="22">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5B6FE0-38CA-422D-AD5E-50349030836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G18:J25" firstHeaderRow="0" firstDataRow="1" firstDataCol="1"/>
  <pivotFields count="17">
    <pivotField numFmtId="14" showAll="0"/>
    <pivotField showAll="0">
      <items count="5">
        <item x="0"/>
        <item x="2"/>
        <item x="1"/>
        <item x="3"/>
        <item t="default"/>
      </items>
    </pivotField>
    <pivotField axis="axisRow" showAll="0">
      <items count="7">
        <item x="4"/>
        <item x="5"/>
        <item x="3"/>
        <item x="1"/>
        <item x="2"/>
        <item x="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13">
        <item h="1" x="0"/>
        <item h="1" x="1"/>
        <item h="1" x="2"/>
        <item h="1" x="3"/>
        <item h="1" x="4"/>
        <item h="1" x="5"/>
        <item h="1" x="6"/>
        <item h="1" x="7"/>
        <item h="1" x="8"/>
        <item x="9"/>
        <item h="1" x="10"/>
        <item h="1" x="11"/>
        <item t="default"/>
      </items>
    </pivotField>
    <pivotField dataField="1" showAll="0"/>
  </pivotFields>
  <rowFields count="1">
    <field x="2"/>
  </rowFields>
  <rowItems count="7">
    <i>
      <x/>
    </i>
    <i>
      <x v="1"/>
    </i>
    <i>
      <x v="2"/>
    </i>
    <i>
      <x v="3"/>
    </i>
    <i>
      <x v="4"/>
    </i>
    <i>
      <x v="5"/>
    </i>
    <i t="grand">
      <x/>
    </i>
  </rowItems>
  <colFields count="1">
    <field x="-2"/>
  </colFields>
  <colItems count="3">
    <i>
      <x/>
    </i>
    <i i="1">
      <x v="1"/>
    </i>
    <i i="2">
      <x v="2"/>
    </i>
  </colItems>
  <dataFields count="3">
    <dataField name="Sum of Revenue" fld="3" baseField="0" baseItem="0"/>
    <dataField name="Sum of Expenses" fld="4" baseField="0" baseItem="0"/>
    <dataField name="Sum of Actual Profit" fld="16" baseField="0" baseItem="0"/>
  </dataFields>
  <formats count="2">
    <format dxfId="87">
      <pivotArea outline="0" collapsedLevelsAreSubtotals="1" fieldPosition="0"/>
    </format>
    <format dxfId="86">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64C5A0-D869-4AD8-9125-F653E27A9B3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D18:E25" firstHeaderRow="1" firstDataRow="1" firstDataCol="1"/>
  <pivotFields count="17">
    <pivotField numFmtId="14" showAll="0"/>
    <pivotField showAll="0">
      <items count="5">
        <item x="0"/>
        <item x="2"/>
        <item x="1"/>
        <item x="3"/>
        <item t="default"/>
      </items>
    </pivotField>
    <pivotField axis="axisRow" showAll="0" sortType="ascending">
      <items count="7">
        <item x="4"/>
        <item x="5"/>
        <item x="3"/>
        <item x="1"/>
        <item x="2"/>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3">
        <item h="1" x="0"/>
        <item h="1" x="1"/>
        <item h="1" x="2"/>
        <item h="1" x="3"/>
        <item h="1" x="4"/>
        <item h="1" x="5"/>
        <item h="1" x="6"/>
        <item h="1" x="7"/>
        <item h="1" x="8"/>
        <item x="9"/>
        <item h="1" x="10"/>
        <item h="1" x="11"/>
        <item t="default"/>
      </items>
    </pivotField>
    <pivotField showAll="0"/>
  </pivotFields>
  <rowFields count="1">
    <field x="2"/>
  </rowFields>
  <rowItems count="7">
    <i>
      <x v="3"/>
    </i>
    <i>
      <x/>
    </i>
    <i>
      <x v="5"/>
    </i>
    <i>
      <x v="2"/>
    </i>
    <i>
      <x v="4"/>
    </i>
    <i>
      <x v="1"/>
    </i>
    <i t="grand">
      <x/>
    </i>
  </rowItems>
  <colItems count="1">
    <i/>
  </colItems>
  <dataFields count="1">
    <dataField name="Sum of Revenue" fld="3" baseField="0" baseItem="0"/>
  </dataFields>
  <formats count="2">
    <format dxfId="89">
      <pivotArea outline="0" collapsedLevelsAreSubtotals="1" fieldPosition="0"/>
    </format>
    <format dxfId="88">
      <pivotArea dataOnly="0" labelOnly="1"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EDC779-9DCF-401C-B54E-A5D27FAAF359}" name="PivotTable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17">
    <pivotField numFmtId="14" showAll="0"/>
    <pivotField showAll="0">
      <items count="5">
        <item x="0"/>
        <item x="2"/>
        <item x="1"/>
        <item x="3"/>
        <item t="default"/>
      </items>
    </pivotField>
    <pivotField showAll="0"/>
    <pivotField dataField="1" showAll="0"/>
    <pivotField dataField="1" showAll="0"/>
    <pivotField dataField="1" showAll="0"/>
    <pivotField showAll="0"/>
    <pivotField showAll="0"/>
    <pivotField showAll="0"/>
    <pivotField showAll="0"/>
    <pivotField showAll="0"/>
    <pivotField showAll="0"/>
    <pivotField dataField="1" showAll="0"/>
    <pivotField showAll="0"/>
    <pivotField showAll="0"/>
    <pivotField showAll="0">
      <items count="13">
        <item h="1" x="0"/>
        <item h="1" x="1"/>
        <item h="1" x="2"/>
        <item h="1" x="3"/>
        <item h="1" x="4"/>
        <item h="1" x="5"/>
        <item h="1" x="6"/>
        <item h="1" x="7"/>
        <item h="1" x="8"/>
        <item x="9"/>
        <item h="1" x="10"/>
        <item h="1" x="11"/>
        <item t="default"/>
      </items>
    </pivotField>
    <pivotField dataField="1" showAll="0"/>
  </pivotFields>
  <rowFields count="1">
    <field x="-2"/>
  </rowFields>
  <rowItems count="5">
    <i>
      <x/>
    </i>
    <i i="1">
      <x v="1"/>
    </i>
    <i i="2">
      <x v="2"/>
    </i>
    <i i="3">
      <x v="3"/>
    </i>
    <i i="4">
      <x v="4"/>
    </i>
  </rowItems>
  <colItems count="1">
    <i/>
  </colItems>
  <dataFields count="5">
    <dataField name="Sum of Revenue" fld="3" baseField="0" baseItem="0"/>
    <dataField name="Sum of Actual Profit" fld="16" baseField="0" baseItem="0"/>
    <dataField name="Sum of Expenses" fld="4" baseField="0" baseItem="0"/>
    <dataField name="Sum of Customers" fld="5" baseField="0" baseItem="0"/>
    <dataField name="Average of Customer Satisfaction %"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243230B-B485-4629-9D35-4039533DA45F}" sourceName="Month">
  <pivotTables>
    <pivotTable tabId="3" name="PivotTable9"/>
    <pivotTable tabId="4" name="PivotTable10"/>
    <pivotTable tabId="3" name="PivotTable1"/>
    <pivotTable tabId="3" name="PivotTable2"/>
    <pivotTable tabId="3" name="PivotTable3"/>
    <pivotTable tabId="3" name="PivotTable4"/>
    <pivotTable tabId="3" name="PivotTable7"/>
    <pivotTable tabId="3" name="PivotTable8"/>
  </pivotTables>
  <data>
    <tabular pivotCacheId="167203558">
      <items count="12">
        <i x="0"/>
        <i x="1"/>
        <i x="2"/>
        <i x="3"/>
        <i x="4"/>
        <i x="5"/>
        <i x="6"/>
        <i x="7"/>
        <i x="8"/>
        <i x="9" s="1"/>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38621F-F403-4131-B5B5-2FE832367B80}" sourceName="Region">
  <pivotTables>
    <pivotTable tabId="3" name="PivotTable8"/>
    <pivotTable tabId="4" name="PivotTable10"/>
    <pivotTable tabId="3" name="PivotTable1"/>
    <pivotTable tabId="3" name="PivotTable2"/>
    <pivotTable tabId="3" name="PivotTable3"/>
    <pivotTable tabId="3" name="PivotTable4"/>
    <pivotTable tabId="3" name="PivotTable7"/>
    <pivotTable tabId="3" name="PivotTable9"/>
  </pivotTables>
  <data>
    <tabular pivotCacheId="167203558">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07F1D3B-BB29-45B6-9507-0978E3934502}" cache="Slicer_Month" caption="Month" style="SlicerStyleOther2" rowHeight="234950"/>
  <slicer name="Region 1" xr10:uid="{7B77D3DD-03D5-4E27-97B5-0107F131504E}" cache="Slicer_Region" caption="Region"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60B53BB-7DE1-434E-92C9-D1664232401A}" cache="Slicer_Month" caption="Month" rowHeight="234950"/>
  <slicer name="Region" xr10:uid="{A8BA77B8-48CA-476E-84E3-F4E478D4D217}"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F784E7-0768-4F34-8AE3-4AA9F6064967}" name="Table1" displayName="Table1" ref="A1:Q501" totalsRowShown="0">
  <autoFilter ref="A1:Q501" xr:uid="{2394C8AE-82A0-4BF6-83DD-ABE44ADA4B12}"/>
  <tableColumns count="17">
    <tableColumn id="1" xr3:uid="{D16AB230-0123-4711-8DCC-EAF00E494D44}" name="Date" dataDxfId="75"/>
    <tableColumn id="2" xr3:uid="{0BDC6177-D483-4C14-A25B-661E7F4DF9F0}" name="Region"/>
    <tableColumn id="3" xr3:uid="{E6FB175D-3AB5-4D65-BEB5-982B7452D9EB}" name="Department"/>
    <tableColumn id="4" xr3:uid="{0444BA08-0D1C-4AAE-B115-34DBE0C5C86E}" name="Revenue"/>
    <tableColumn id="5" xr3:uid="{F657DFE5-885A-4AC8-8126-5BB12B854E44}" name="Expenses"/>
    <tableColumn id="6" xr3:uid="{5C6D627A-8ED5-409B-9CFD-E11FE9063744}" name="Customers"/>
    <tableColumn id="7" xr3:uid="{29033AAA-BAF1-43AB-B8C3-E7A6F682E1FE}" name="Budget Revenue"/>
    <tableColumn id="8" xr3:uid="{3AE2096F-687D-491A-84D1-398C1E3DBE8F}" name="Product Category"/>
    <tableColumn id="9" xr3:uid="{5A8248A5-B04E-49CF-B89D-8F1F7F500A84}" name="Sales Channel"/>
    <tableColumn id="10" xr3:uid="{269954CF-0604-4E8B-AA79-7985DCFD482E}" name="Financial Metric"/>
    <tableColumn id="11" xr3:uid="{31B3532A-831F-49A1-96EB-08E84EAD0227}" name="Expense Category"/>
    <tableColumn id="12" xr3:uid="{0E3C4E7D-8EE8-49CF-AB57-DD970A2EC171}" name="Customer Name"/>
    <tableColumn id="13" xr3:uid="{96B8A62A-3681-4FDE-8D74-498A1FE3B4BD}" name="Customer Satisfaction %"/>
    <tableColumn id="14" xr3:uid="{0EF50C34-9BCE-4E5B-858C-755EFA992F97}" name="Budget Profit"/>
    <tableColumn id="15" xr3:uid="{1DEC5115-1559-4323-A0CA-D512810DCDA4}" name="Year" dataDxfId="74">
      <calculatedColumnFormula>YEAR(Table1[[#This Row],[Date]])</calculatedColumnFormula>
    </tableColumn>
    <tableColumn id="16" xr3:uid="{F9D4FF0F-0D34-48AE-9FAE-45201AE83407}" name="Month" dataDxfId="73">
      <calculatedColumnFormula>TEXT(Table1[[#This Row],[Date]],"MMM")</calculatedColumnFormula>
    </tableColumn>
    <tableColumn id="17" xr3:uid="{6081CFE3-FFAE-4868-A206-D8F74746C543}" name="Actual Profit" dataDxfId="72">
      <calculatedColumnFormula>Table1[[#This Row],[Revenue]]-Table1[[#This Row],[Expenses]]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2.xml"/><Relationship Id="rId4" Type="http://schemas.openxmlformats.org/officeDocument/2006/relationships/pivotTable" Target="../pivotTables/pivotTable5.xml"/><Relationship Id="rId9" Type="http://schemas.openxmlformats.org/officeDocument/2006/relationships/drawing" Target="../drawings/drawing5.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E2BC-CF9A-4483-8B23-9865B8AB6DA1}">
  <sheetPr codeName="Sheet2"/>
  <dimension ref="D9:X24"/>
  <sheetViews>
    <sheetView showGridLines="0" showRowColHeaders="0" tabSelected="1" zoomScale="67" zoomScaleNormal="80" workbookViewId="0">
      <selection activeCell="Z11" sqref="Z11"/>
    </sheetView>
  </sheetViews>
  <sheetFormatPr defaultRowHeight="14.4" x14ac:dyDescent="0.3"/>
  <cols>
    <col min="20" max="20" width="12.21875" bestFit="1" customWidth="1"/>
    <col min="21" max="21" width="13.109375" bestFit="1" customWidth="1"/>
    <col min="22" max="22" width="14.88671875" bestFit="1" customWidth="1"/>
    <col min="23" max="23" width="15.33203125" bestFit="1" customWidth="1"/>
    <col min="24" max="24" width="18.109375" bestFit="1" customWidth="1"/>
  </cols>
  <sheetData>
    <row r="9" spans="4:4" x14ac:dyDescent="0.3">
      <c r="D9" s="10" t="s">
        <v>302</v>
      </c>
    </row>
    <row r="17" spans="21:24" x14ac:dyDescent="0.3">
      <c r="U17" s="14" t="s">
        <v>303</v>
      </c>
      <c r="V17" s="7" t="s">
        <v>291</v>
      </c>
      <c r="W17" s="15" t="s">
        <v>294</v>
      </c>
      <c r="X17" s="15" t="s">
        <v>292</v>
      </c>
    </row>
    <row r="18" spans="21:24" x14ac:dyDescent="0.3">
      <c r="U18" s="16" t="s">
        <v>41</v>
      </c>
      <c r="V18" s="17">
        <v>589394</v>
      </c>
      <c r="W18" s="17">
        <v>316112</v>
      </c>
      <c r="X18" s="17">
        <v>273282</v>
      </c>
    </row>
    <row r="19" spans="21:24" x14ac:dyDescent="0.3">
      <c r="U19" s="16" t="s">
        <v>48</v>
      </c>
      <c r="V19" s="17">
        <v>1143173</v>
      </c>
      <c r="W19" s="17">
        <v>640007</v>
      </c>
      <c r="X19" s="17">
        <v>503166</v>
      </c>
    </row>
    <row r="20" spans="21:24" x14ac:dyDescent="0.3">
      <c r="U20" s="16" t="s">
        <v>39</v>
      </c>
      <c r="V20" s="17">
        <v>1083623</v>
      </c>
      <c r="W20" s="17">
        <v>667993</v>
      </c>
      <c r="X20" s="17">
        <v>415630</v>
      </c>
    </row>
    <row r="21" spans="21:24" x14ac:dyDescent="0.3">
      <c r="U21" s="16" t="s">
        <v>24</v>
      </c>
      <c r="V21" s="17">
        <v>401692</v>
      </c>
      <c r="W21" s="17">
        <v>203423</v>
      </c>
      <c r="X21" s="17">
        <v>198269</v>
      </c>
    </row>
    <row r="22" spans="21:24" x14ac:dyDescent="0.3">
      <c r="U22" s="16" t="s">
        <v>33</v>
      </c>
      <c r="V22" s="17">
        <v>1113621</v>
      </c>
      <c r="W22" s="17">
        <v>535761</v>
      </c>
      <c r="X22" s="17">
        <v>577860</v>
      </c>
    </row>
    <row r="23" spans="21:24" x14ac:dyDescent="0.3">
      <c r="U23" s="16" t="s">
        <v>18</v>
      </c>
      <c r="V23" s="17">
        <v>851289</v>
      </c>
      <c r="W23" s="17">
        <v>452699</v>
      </c>
      <c r="X23" s="17">
        <v>398590</v>
      </c>
    </row>
    <row r="24" spans="21:24" x14ac:dyDescent="0.3">
      <c r="U24" s="6" t="s">
        <v>305</v>
      </c>
      <c r="V24" s="7">
        <v>5182792</v>
      </c>
      <c r="W24" s="7">
        <v>2815995</v>
      </c>
      <c r="X24" s="7">
        <v>2366797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5FF3-CFD5-41A7-B780-39CDE95C8475}">
  <sheetPr codeName="Sheet3"/>
  <dimension ref="A2:P41"/>
  <sheetViews>
    <sheetView topLeftCell="E12" workbookViewId="0">
      <selection activeCell="N28" sqref="N28"/>
    </sheetView>
  </sheetViews>
  <sheetFormatPr defaultRowHeight="14.4" x14ac:dyDescent="0.3"/>
  <cols>
    <col min="1" max="1" width="32.44140625" customWidth="1"/>
    <col min="2" max="2" width="11.33203125" bestFit="1" customWidth="1"/>
    <col min="4" max="4" width="27.6640625" customWidth="1"/>
    <col min="5" max="5" width="14.88671875" bestFit="1" customWidth="1"/>
    <col min="6" max="6" width="20.44140625" customWidth="1"/>
    <col min="8" max="8" width="14.88671875" bestFit="1" customWidth="1"/>
    <col min="10" max="10" width="18.109375" customWidth="1"/>
    <col min="11" max="11" width="18.77734375" customWidth="1"/>
    <col min="14" max="14" width="18.77734375" bestFit="1" customWidth="1"/>
    <col min="15" max="15" width="12.5546875" bestFit="1" customWidth="1"/>
    <col min="16" max="16" width="14.88671875" bestFit="1" customWidth="1"/>
  </cols>
  <sheetData>
    <row r="2" spans="1:6" x14ac:dyDescent="0.3">
      <c r="A2" s="18" t="s">
        <v>301</v>
      </c>
      <c r="B2" s="19"/>
    </row>
    <row r="3" spans="1:6" x14ac:dyDescent="0.3">
      <c r="A3" s="3" t="s">
        <v>293</v>
      </c>
      <c r="D3" s="3" t="s">
        <v>303</v>
      </c>
      <c r="E3" s="5" t="s">
        <v>291</v>
      </c>
      <c r="F3" s="5" t="s">
        <v>292</v>
      </c>
    </row>
    <row r="4" spans="1:6" x14ac:dyDescent="0.3">
      <c r="A4" s="4" t="s">
        <v>291</v>
      </c>
      <c r="B4" s="20">
        <v>5182792</v>
      </c>
      <c r="D4" s="4" t="s">
        <v>304</v>
      </c>
      <c r="E4" s="5">
        <v>5182792</v>
      </c>
      <c r="F4" s="5">
        <v>2366797</v>
      </c>
    </row>
    <row r="5" spans="1:6" x14ac:dyDescent="0.3">
      <c r="A5" s="4" t="s">
        <v>292</v>
      </c>
      <c r="B5" s="20">
        <v>2366797</v>
      </c>
      <c r="D5" s="4" t="s">
        <v>305</v>
      </c>
      <c r="E5" s="5">
        <v>5182792</v>
      </c>
      <c r="F5" s="5">
        <v>2366797</v>
      </c>
    </row>
    <row r="6" spans="1:6" x14ac:dyDescent="0.3">
      <c r="A6" s="4" t="s">
        <v>294</v>
      </c>
      <c r="B6" s="20">
        <v>2815995</v>
      </c>
    </row>
    <row r="7" spans="1:6" x14ac:dyDescent="0.3">
      <c r="A7" s="4" t="s">
        <v>295</v>
      </c>
      <c r="B7" s="20">
        <v>26604</v>
      </c>
    </row>
    <row r="8" spans="1:6" x14ac:dyDescent="0.3">
      <c r="A8" s="4" t="s">
        <v>296</v>
      </c>
      <c r="B8" s="20">
        <v>87.951612903225836</v>
      </c>
    </row>
    <row r="11" spans="1:6" x14ac:dyDescent="0.3">
      <c r="A11" s="6" t="s">
        <v>297</v>
      </c>
      <c r="B11" s="7">
        <f>GETPIVOTDATA("Sum of Revenue",$A$3)</f>
        <v>5182792</v>
      </c>
    </row>
    <row r="12" spans="1:6" x14ac:dyDescent="0.3">
      <c r="A12" s="6" t="s">
        <v>298</v>
      </c>
      <c r="B12" s="7">
        <f>GETPIVOTDATA("Sum of Actual Profit",$A$3)</f>
        <v>2366797</v>
      </c>
    </row>
    <row r="13" spans="1:6" x14ac:dyDescent="0.3">
      <c r="A13" s="6" t="s">
        <v>4</v>
      </c>
      <c r="B13" s="7">
        <f>GETPIVOTDATA("Sum of Expenses",$A$3)</f>
        <v>2815995</v>
      </c>
    </row>
    <row r="14" spans="1:6" x14ac:dyDescent="0.3">
      <c r="A14" s="6" t="s">
        <v>299</v>
      </c>
      <c r="B14" s="8">
        <f>GETPIVOTDATA("Sum of Customers",$A$3)</f>
        <v>26604</v>
      </c>
    </row>
    <row r="15" spans="1:6" x14ac:dyDescent="0.3">
      <c r="A15" s="6" t="s">
        <v>300</v>
      </c>
      <c r="B15" s="9">
        <f>GETPIVOTDATA("Average of Customer Satisfaction %",$A$3)</f>
        <v>87.951612903225836</v>
      </c>
    </row>
    <row r="18" spans="4:16" x14ac:dyDescent="0.3">
      <c r="D18" s="3" t="s">
        <v>303</v>
      </c>
      <c r="E18" t="s">
        <v>291</v>
      </c>
      <c r="G18" s="3" t="s">
        <v>303</v>
      </c>
      <c r="H18" s="5" t="s">
        <v>291</v>
      </c>
      <c r="I18" t="s">
        <v>294</v>
      </c>
      <c r="J18" t="s">
        <v>292</v>
      </c>
    </row>
    <row r="19" spans="4:16" x14ac:dyDescent="0.3">
      <c r="D19" s="4" t="s">
        <v>24</v>
      </c>
      <c r="E19" s="5">
        <v>401692</v>
      </c>
      <c r="G19" s="4" t="s">
        <v>41</v>
      </c>
      <c r="H19" s="5">
        <v>589394</v>
      </c>
      <c r="I19" s="5">
        <v>316112</v>
      </c>
      <c r="J19" s="5">
        <v>273282</v>
      </c>
    </row>
    <row r="20" spans="4:16" x14ac:dyDescent="0.3">
      <c r="D20" s="4" t="s">
        <v>41</v>
      </c>
      <c r="E20" s="5">
        <v>589394</v>
      </c>
      <c r="G20" s="4" t="s">
        <v>48</v>
      </c>
      <c r="H20" s="5">
        <v>1143173</v>
      </c>
      <c r="I20" s="5">
        <v>640007</v>
      </c>
      <c r="J20" s="5">
        <v>503166</v>
      </c>
    </row>
    <row r="21" spans="4:16" x14ac:dyDescent="0.3">
      <c r="D21" s="4" t="s">
        <v>18</v>
      </c>
      <c r="E21" s="5">
        <v>851289</v>
      </c>
      <c r="G21" s="4" t="s">
        <v>39</v>
      </c>
      <c r="H21" s="5">
        <v>1083623</v>
      </c>
      <c r="I21" s="5">
        <v>667993</v>
      </c>
      <c r="J21" s="5">
        <v>415630</v>
      </c>
    </row>
    <row r="22" spans="4:16" x14ac:dyDescent="0.3">
      <c r="D22" s="4" t="s">
        <v>39</v>
      </c>
      <c r="E22" s="5">
        <v>1083623</v>
      </c>
      <c r="G22" s="4" t="s">
        <v>24</v>
      </c>
      <c r="H22" s="5">
        <v>401692</v>
      </c>
      <c r="I22" s="5">
        <v>203423</v>
      </c>
      <c r="J22" s="5">
        <v>198269</v>
      </c>
    </row>
    <row r="23" spans="4:16" x14ac:dyDescent="0.3">
      <c r="D23" s="4" t="s">
        <v>33</v>
      </c>
      <c r="E23" s="5">
        <v>1113621</v>
      </c>
      <c r="G23" s="4" t="s">
        <v>33</v>
      </c>
      <c r="H23" s="5">
        <v>1113621</v>
      </c>
      <c r="I23" s="5">
        <v>535761</v>
      </c>
      <c r="J23" s="5">
        <v>577860</v>
      </c>
    </row>
    <row r="24" spans="4:16" x14ac:dyDescent="0.3">
      <c r="D24" s="4" t="s">
        <v>48</v>
      </c>
      <c r="E24" s="5">
        <v>1143173</v>
      </c>
      <c r="G24" s="4" t="s">
        <v>18</v>
      </c>
      <c r="H24" s="5">
        <v>851289</v>
      </c>
      <c r="I24" s="5">
        <v>452699</v>
      </c>
      <c r="J24" s="5">
        <v>398590</v>
      </c>
    </row>
    <row r="25" spans="4:16" x14ac:dyDescent="0.3">
      <c r="D25" s="4" t="s">
        <v>305</v>
      </c>
      <c r="E25" s="5">
        <v>5182792</v>
      </c>
      <c r="G25" s="4" t="s">
        <v>305</v>
      </c>
      <c r="H25" s="5">
        <v>5182792</v>
      </c>
      <c r="I25" s="5">
        <v>2815995</v>
      </c>
      <c r="J25" s="5">
        <v>2366797</v>
      </c>
    </row>
    <row r="28" spans="4:16" x14ac:dyDescent="0.3">
      <c r="H28" s="3" t="s">
        <v>303</v>
      </c>
      <c r="I28" t="s">
        <v>292</v>
      </c>
      <c r="J28" t="s">
        <v>306</v>
      </c>
      <c r="L28" s="3" t="s">
        <v>303</v>
      </c>
      <c r="M28" t="s">
        <v>294</v>
      </c>
    </row>
    <row r="29" spans="4:16" x14ac:dyDescent="0.3">
      <c r="H29" s="4" t="s">
        <v>21</v>
      </c>
      <c r="I29" s="5">
        <v>952198</v>
      </c>
      <c r="J29" s="5">
        <v>946221</v>
      </c>
      <c r="L29" s="4" t="s">
        <v>46</v>
      </c>
      <c r="M29" s="5">
        <v>238024</v>
      </c>
    </row>
    <row r="30" spans="4:16" x14ac:dyDescent="0.3">
      <c r="H30" s="4" t="s">
        <v>42</v>
      </c>
      <c r="I30" s="5">
        <v>460858</v>
      </c>
      <c r="J30" s="5">
        <v>467861</v>
      </c>
      <c r="L30" s="4" t="s">
        <v>30</v>
      </c>
      <c r="M30" s="5">
        <v>308786</v>
      </c>
      <c r="O30" s="11" t="s">
        <v>303</v>
      </c>
      <c r="P30" s="12" t="s">
        <v>291</v>
      </c>
    </row>
    <row r="31" spans="4:16" x14ac:dyDescent="0.3">
      <c r="H31" s="4" t="s">
        <v>29</v>
      </c>
      <c r="I31" s="5">
        <v>240444</v>
      </c>
      <c r="J31" s="5">
        <v>237070</v>
      </c>
      <c r="L31" s="4" t="s">
        <v>22</v>
      </c>
      <c r="M31" s="5">
        <v>347195</v>
      </c>
      <c r="O31" s="13" t="s">
        <v>69</v>
      </c>
      <c r="P31" s="12">
        <v>234970</v>
      </c>
    </row>
    <row r="32" spans="4:16" x14ac:dyDescent="0.3">
      <c r="H32" s="4" t="s">
        <v>51</v>
      </c>
      <c r="I32" s="5">
        <v>212147</v>
      </c>
      <c r="J32" s="5">
        <v>204747</v>
      </c>
      <c r="L32" s="4" t="s">
        <v>24</v>
      </c>
      <c r="M32" s="5">
        <v>202714</v>
      </c>
      <c r="O32" s="13" t="s">
        <v>61</v>
      </c>
      <c r="P32" s="12">
        <v>206568</v>
      </c>
    </row>
    <row r="33" spans="8:16" x14ac:dyDescent="0.3">
      <c r="H33" s="4" t="s">
        <v>3</v>
      </c>
      <c r="I33" s="5">
        <v>501150</v>
      </c>
      <c r="J33" s="5">
        <v>505384</v>
      </c>
      <c r="L33" s="4" t="s">
        <v>43</v>
      </c>
      <c r="M33" s="5">
        <v>345614</v>
      </c>
      <c r="O33" s="13" t="s">
        <v>97</v>
      </c>
      <c r="P33" s="12">
        <v>205566</v>
      </c>
    </row>
    <row r="34" spans="8:16" x14ac:dyDescent="0.3">
      <c r="H34" s="4" t="s">
        <v>305</v>
      </c>
      <c r="I34" s="5">
        <v>2366797</v>
      </c>
      <c r="J34" s="5">
        <v>2361283</v>
      </c>
      <c r="L34" s="4" t="s">
        <v>35</v>
      </c>
      <c r="M34" s="5">
        <v>132318</v>
      </c>
      <c r="O34" s="13" t="s">
        <v>76</v>
      </c>
      <c r="P34" s="12">
        <v>213995</v>
      </c>
    </row>
    <row r="35" spans="8:16" x14ac:dyDescent="0.3">
      <c r="L35" s="4" t="s">
        <v>49</v>
      </c>
      <c r="M35" s="5">
        <v>736003</v>
      </c>
      <c r="O35" s="13" t="s">
        <v>173</v>
      </c>
      <c r="P35" s="12">
        <v>247926</v>
      </c>
    </row>
    <row r="36" spans="8:16" x14ac:dyDescent="0.3">
      <c r="L36" s="4" t="s">
        <v>55</v>
      </c>
      <c r="M36" s="5">
        <v>186028</v>
      </c>
      <c r="O36" s="13" t="s">
        <v>137</v>
      </c>
      <c r="P36" s="12">
        <v>230059</v>
      </c>
    </row>
    <row r="37" spans="8:16" x14ac:dyDescent="0.3">
      <c r="L37" s="4" t="s">
        <v>52</v>
      </c>
      <c r="M37" s="5">
        <v>128520</v>
      </c>
      <c r="O37" s="13" t="s">
        <v>240</v>
      </c>
      <c r="P37" s="12">
        <v>202015</v>
      </c>
    </row>
    <row r="38" spans="8:16" x14ac:dyDescent="0.3">
      <c r="L38" s="4" t="s">
        <v>71</v>
      </c>
      <c r="M38" s="5">
        <v>190793</v>
      </c>
      <c r="O38" s="13" t="s">
        <v>234</v>
      </c>
      <c r="P38" s="12">
        <v>232797</v>
      </c>
    </row>
    <row r="39" spans="8:16" x14ac:dyDescent="0.3">
      <c r="L39" s="4" t="s">
        <v>305</v>
      </c>
      <c r="M39" s="5">
        <v>2815995</v>
      </c>
      <c r="O39" s="13" t="s">
        <v>128</v>
      </c>
      <c r="P39" s="12">
        <v>265668</v>
      </c>
    </row>
    <row r="40" spans="8:16" x14ac:dyDescent="0.3">
      <c r="O40" s="13" t="s">
        <v>239</v>
      </c>
      <c r="P40" s="12">
        <v>217624</v>
      </c>
    </row>
    <row r="41" spans="8:16" x14ac:dyDescent="0.3">
      <c r="O41" s="13" t="s">
        <v>305</v>
      </c>
      <c r="P41" s="12">
        <v>2257188</v>
      </c>
    </row>
  </sheetData>
  <mergeCells count="1">
    <mergeCell ref="A2:B2"/>
  </mergeCells>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03BB-9258-49B6-8D5B-FD5C05DAA7FB}">
  <sheetPr codeName="Sheet1"/>
  <dimension ref="A1:Q501"/>
  <sheetViews>
    <sheetView zoomScale="88" workbookViewId="0">
      <selection activeCell="Q2" sqref="Q2"/>
    </sheetView>
  </sheetViews>
  <sheetFormatPr defaultRowHeight="14.4" x14ac:dyDescent="0.3"/>
  <cols>
    <col min="1" max="1" width="10.33203125" style="2" bestFit="1" customWidth="1"/>
    <col min="2" max="2" width="8.33203125" customWidth="1"/>
    <col min="3" max="3" width="12.77734375" customWidth="1"/>
    <col min="4" max="4" width="9.88671875" customWidth="1"/>
    <col min="5" max="5" width="10.33203125" customWidth="1"/>
    <col min="6" max="6" width="11.44140625" customWidth="1"/>
    <col min="7" max="7" width="16.33203125" customWidth="1"/>
    <col min="8" max="8" width="17.109375" customWidth="1"/>
    <col min="9" max="9" width="14.109375" customWidth="1"/>
    <col min="10" max="10" width="17.109375" bestFit="1" customWidth="1"/>
    <col min="11" max="11" width="17.33203125" customWidth="1"/>
    <col min="12" max="12" width="16.109375" customWidth="1"/>
    <col min="13" max="13" width="22.6640625" customWidth="1"/>
    <col min="14" max="14" width="13.6640625" customWidth="1"/>
    <col min="15" max="15" width="17.33203125" customWidth="1"/>
    <col min="17" max="17" width="18.777343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s="1" t="s">
        <v>14</v>
      </c>
      <c r="P1" s="1" t="s">
        <v>15</v>
      </c>
      <c r="Q1" s="1" t="s">
        <v>16</v>
      </c>
    </row>
    <row r="2" spans="1:17" x14ac:dyDescent="0.3">
      <c r="A2" s="2">
        <v>45658</v>
      </c>
      <c r="B2" t="s">
        <v>17</v>
      </c>
      <c r="C2" t="s">
        <v>18</v>
      </c>
      <c r="D2">
        <v>204436</v>
      </c>
      <c r="E2">
        <v>120700</v>
      </c>
      <c r="F2">
        <v>377</v>
      </c>
      <c r="G2">
        <v>204309</v>
      </c>
      <c r="H2" t="s">
        <v>19</v>
      </c>
      <c r="I2" t="s">
        <v>20</v>
      </c>
      <c r="J2" t="s">
        <v>21</v>
      </c>
      <c r="K2" t="s">
        <v>22</v>
      </c>
      <c r="L2" t="s">
        <v>23</v>
      </c>
      <c r="M2">
        <v>84.4</v>
      </c>
      <c r="N2">
        <v>83327</v>
      </c>
      <c r="O2">
        <f>YEAR(Table1[[#This Row],[Date]])</f>
        <v>2025</v>
      </c>
      <c r="P2" t="str">
        <f>TEXT(Table1[[#This Row],[Date]],"MMM")</f>
        <v>Jan</v>
      </c>
      <c r="Q2">
        <f>Table1[[#This Row],[Revenue]]-Table1[[#This Row],[Expenses]]</f>
        <v>83736</v>
      </c>
    </row>
    <row r="3" spans="1:17" x14ac:dyDescent="0.3">
      <c r="A3" s="2">
        <v>45659</v>
      </c>
      <c r="B3" t="s">
        <v>17</v>
      </c>
      <c r="C3" t="s">
        <v>24</v>
      </c>
      <c r="D3">
        <v>193781</v>
      </c>
      <c r="E3">
        <v>45471</v>
      </c>
      <c r="F3">
        <v>1056</v>
      </c>
      <c r="G3">
        <v>185781</v>
      </c>
      <c r="H3" t="s">
        <v>25</v>
      </c>
      <c r="I3" t="s">
        <v>26</v>
      </c>
      <c r="J3" t="s">
        <v>3</v>
      </c>
      <c r="K3" t="s">
        <v>24</v>
      </c>
      <c r="L3" t="s">
        <v>27</v>
      </c>
      <c r="M3">
        <v>75</v>
      </c>
      <c r="N3">
        <v>156034</v>
      </c>
      <c r="O3">
        <f>YEAR(Table1[[#This Row],[Date]])</f>
        <v>2025</v>
      </c>
      <c r="P3" t="str">
        <f>TEXT(Table1[[#This Row],[Date]],"MMM")</f>
        <v>Jan</v>
      </c>
      <c r="Q3">
        <f>Table1[[#This Row],[Revenue]]-Table1[[#This Row],[Expenses]]</f>
        <v>148310</v>
      </c>
    </row>
    <row r="4" spans="1:17" x14ac:dyDescent="0.3">
      <c r="A4" s="2">
        <v>45660</v>
      </c>
      <c r="B4" t="s">
        <v>28</v>
      </c>
      <c r="C4" t="s">
        <v>24</v>
      </c>
      <c r="D4">
        <v>262384</v>
      </c>
      <c r="E4">
        <v>159850</v>
      </c>
      <c r="F4">
        <v>1085</v>
      </c>
      <c r="G4">
        <v>249194</v>
      </c>
      <c r="H4" t="s">
        <v>25</v>
      </c>
      <c r="I4" t="s">
        <v>20</v>
      </c>
      <c r="J4" t="s">
        <v>29</v>
      </c>
      <c r="K4" t="s">
        <v>30</v>
      </c>
      <c r="L4" t="s">
        <v>31</v>
      </c>
      <c r="M4">
        <v>86.3</v>
      </c>
      <c r="N4">
        <v>94614</v>
      </c>
      <c r="O4">
        <f>YEAR(Table1[[#This Row],[Date]])</f>
        <v>2025</v>
      </c>
      <c r="P4" t="str">
        <f>TEXT(Table1[[#This Row],[Date]],"MMM")</f>
        <v>Jan</v>
      </c>
      <c r="Q4">
        <f>Table1[[#This Row],[Revenue]]-Table1[[#This Row],[Expenses]]</f>
        <v>102534</v>
      </c>
    </row>
    <row r="5" spans="1:17" x14ac:dyDescent="0.3">
      <c r="A5" s="2">
        <v>45661</v>
      </c>
      <c r="B5" t="s">
        <v>32</v>
      </c>
      <c r="C5" t="s">
        <v>33</v>
      </c>
      <c r="D5">
        <v>102609</v>
      </c>
      <c r="E5">
        <v>34663</v>
      </c>
      <c r="F5">
        <v>916</v>
      </c>
      <c r="G5">
        <v>103499</v>
      </c>
      <c r="H5" t="s">
        <v>34</v>
      </c>
      <c r="I5" t="s">
        <v>20</v>
      </c>
      <c r="J5" t="s">
        <v>29</v>
      </c>
      <c r="K5" t="s">
        <v>35</v>
      </c>
      <c r="L5" t="s">
        <v>36</v>
      </c>
      <c r="M5">
        <v>93.2</v>
      </c>
      <c r="N5">
        <v>73784</v>
      </c>
      <c r="O5">
        <f>YEAR(Table1[[#This Row],[Date]])</f>
        <v>2025</v>
      </c>
      <c r="P5" t="str">
        <f>TEXT(Table1[[#This Row],[Date]],"MMM")</f>
        <v>Jan</v>
      </c>
      <c r="Q5">
        <f>Table1[[#This Row],[Revenue]]-Table1[[#This Row],[Expenses]]</f>
        <v>67946</v>
      </c>
    </row>
    <row r="6" spans="1:17" x14ac:dyDescent="0.3">
      <c r="A6" s="2">
        <v>45662</v>
      </c>
      <c r="B6" t="s">
        <v>32</v>
      </c>
      <c r="C6" t="s">
        <v>24</v>
      </c>
      <c r="D6">
        <v>277713</v>
      </c>
      <c r="E6">
        <v>63818</v>
      </c>
      <c r="F6">
        <v>886</v>
      </c>
      <c r="G6">
        <v>254196</v>
      </c>
      <c r="H6" t="s">
        <v>19</v>
      </c>
      <c r="I6" t="s">
        <v>37</v>
      </c>
      <c r="J6" t="s">
        <v>21</v>
      </c>
      <c r="K6" t="s">
        <v>30</v>
      </c>
      <c r="L6" t="s">
        <v>38</v>
      </c>
      <c r="M6">
        <v>97.9</v>
      </c>
      <c r="N6">
        <v>198833</v>
      </c>
      <c r="O6">
        <f>YEAR(Table1[[#This Row],[Date]])</f>
        <v>2025</v>
      </c>
      <c r="P6" t="str">
        <f>TEXT(Table1[[#This Row],[Date]],"MMM")</f>
        <v>Jan</v>
      </c>
      <c r="Q6">
        <f>Table1[[#This Row],[Revenue]]-Table1[[#This Row],[Expenses]]</f>
        <v>213895</v>
      </c>
    </row>
    <row r="7" spans="1:17" x14ac:dyDescent="0.3">
      <c r="A7" s="2">
        <v>45663</v>
      </c>
      <c r="B7" t="s">
        <v>28</v>
      </c>
      <c r="C7" t="s">
        <v>39</v>
      </c>
      <c r="D7">
        <v>69628</v>
      </c>
      <c r="E7">
        <v>47977</v>
      </c>
      <c r="F7">
        <v>825</v>
      </c>
      <c r="G7">
        <v>70659</v>
      </c>
      <c r="H7" t="s">
        <v>25</v>
      </c>
      <c r="I7" t="s">
        <v>37</v>
      </c>
      <c r="J7" t="s">
        <v>3</v>
      </c>
      <c r="K7" t="s">
        <v>30</v>
      </c>
      <c r="L7" t="s">
        <v>40</v>
      </c>
      <c r="M7">
        <v>75</v>
      </c>
      <c r="N7">
        <v>22998</v>
      </c>
      <c r="O7">
        <f>YEAR(Table1[[#This Row],[Date]])</f>
        <v>2025</v>
      </c>
      <c r="P7" t="str">
        <f>TEXT(Table1[[#This Row],[Date]],"MMM")</f>
        <v>Jan</v>
      </c>
      <c r="Q7">
        <f>Table1[[#This Row],[Revenue]]-Table1[[#This Row],[Expenses]]</f>
        <v>21651</v>
      </c>
    </row>
    <row r="8" spans="1:17" x14ac:dyDescent="0.3">
      <c r="A8" s="2">
        <v>45664</v>
      </c>
      <c r="B8" t="s">
        <v>32</v>
      </c>
      <c r="C8" t="s">
        <v>41</v>
      </c>
      <c r="D8">
        <v>90886</v>
      </c>
      <c r="E8">
        <v>66012</v>
      </c>
      <c r="F8">
        <v>1426</v>
      </c>
      <c r="G8">
        <v>85321</v>
      </c>
      <c r="H8" t="s">
        <v>19</v>
      </c>
      <c r="I8" t="s">
        <v>37</v>
      </c>
      <c r="J8" t="s">
        <v>42</v>
      </c>
      <c r="K8" t="s">
        <v>43</v>
      </c>
      <c r="L8" t="s">
        <v>44</v>
      </c>
      <c r="M8">
        <v>77.8</v>
      </c>
      <c r="N8">
        <v>27213</v>
      </c>
      <c r="O8">
        <f>YEAR(Table1[[#This Row],[Date]])</f>
        <v>2025</v>
      </c>
      <c r="P8" t="str">
        <f>TEXT(Table1[[#This Row],[Date]],"MMM")</f>
        <v>Jan</v>
      </c>
      <c r="Q8">
        <f>Table1[[#This Row],[Revenue]]-Table1[[#This Row],[Expenses]]</f>
        <v>24874</v>
      </c>
    </row>
    <row r="9" spans="1:17" x14ac:dyDescent="0.3">
      <c r="A9" s="2">
        <v>45665</v>
      </c>
      <c r="B9" t="s">
        <v>45</v>
      </c>
      <c r="C9" t="s">
        <v>24</v>
      </c>
      <c r="D9">
        <v>170237</v>
      </c>
      <c r="E9">
        <v>67232</v>
      </c>
      <c r="F9">
        <v>1172</v>
      </c>
      <c r="G9">
        <v>168383</v>
      </c>
      <c r="H9" t="s">
        <v>25</v>
      </c>
      <c r="I9" t="s">
        <v>37</v>
      </c>
      <c r="J9" t="s">
        <v>29</v>
      </c>
      <c r="K9" t="s">
        <v>46</v>
      </c>
      <c r="L9" t="s">
        <v>47</v>
      </c>
      <c r="M9">
        <v>85.6</v>
      </c>
      <c r="N9">
        <v>106590</v>
      </c>
      <c r="O9">
        <f>YEAR(Table1[[#This Row],[Date]])</f>
        <v>2025</v>
      </c>
      <c r="P9" t="str">
        <f>TEXT(Table1[[#This Row],[Date]],"MMM")</f>
        <v>Jan</v>
      </c>
      <c r="Q9">
        <f>Table1[[#This Row],[Revenue]]-Table1[[#This Row],[Expenses]]</f>
        <v>103005</v>
      </c>
    </row>
    <row r="10" spans="1:17" x14ac:dyDescent="0.3">
      <c r="A10" s="2">
        <v>45666</v>
      </c>
      <c r="B10" t="s">
        <v>28</v>
      </c>
      <c r="C10" t="s">
        <v>48</v>
      </c>
      <c r="D10">
        <v>179985</v>
      </c>
      <c r="E10">
        <v>45786</v>
      </c>
      <c r="F10">
        <v>1426</v>
      </c>
      <c r="G10">
        <v>171486</v>
      </c>
      <c r="H10" t="s">
        <v>34</v>
      </c>
      <c r="I10" t="s">
        <v>26</v>
      </c>
      <c r="J10" t="s">
        <v>29</v>
      </c>
      <c r="K10" t="s">
        <v>49</v>
      </c>
      <c r="L10" t="s">
        <v>50</v>
      </c>
      <c r="M10">
        <v>93.9</v>
      </c>
      <c r="N10">
        <v>137270</v>
      </c>
      <c r="O10">
        <f>YEAR(Table1[[#This Row],[Date]])</f>
        <v>2025</v>
      </c>
      <c r="P10" t="str">
        <f>TEXT(Table1[[#This Row],[Date]],"MMM")</f>
        <v>Jan</v>
      </c>
      <c r="Q10">
        <f>Table1[[#This Row],[Revenue]]-Table1[[#This Row],[Expenses]]</f>
        <v>134199</v>
      </c>
    </row>
    <row r="11" spans="1:17" x14ac:dyDescent="0.3">
      <c r="A11" s="2">
        <v>45667</v>
      </c>
      <c r="B11" t="s">
        <v>45</v>
      </c>
      <c r="C11" t="s">
        <v>41</v>
      </c>
      <c r="D11">
        <v>239605</v>
      </c>
      <c r="E11">
        <v>127247</v>
      </c>
      <c r="F11">
        <v>1277</v>
      </c>
      <c r="G11">
        <v>261699</v>
      </c>
      <c r="H11" t="s">
        <v>34</v>
      </c>
      <c r="I11" t="s">
        <v>20</v>
      </c>
      <c r="J11" t="s">
        <v>51</v>
      </c>
      <c r="K11" t="s">
        <v>52</v>
      </c>
      <c r="L11" t="s">
        <v>53</v>
      </c>
      <c r="M11">
        <v>75.5</v>
      </c>
      <c r="N11">
        <v>103347</v>
      </c>
      <c r="O11">
        <f>YEAR(Table1[[#This Row],[Date]])</f>
        <v>2025</v>
      </c>
      <c r="P11" t="str">
        <f>TEXT(Table1[[#This Row],[Date]],"MMM")</f>
        <v>Jan</v>
      </c>
      <c r="Q11">
        <f>Table1[[#This Row],[Revenue]]-Table1[[#This Row],[Expenses]]</f>
        <v>112358</v>
      </c>
    </row>
    <row r="12" spans="1:17" x14ac:dyDescent="0.3">
      <c r="A12" s="2">
        <v>45668</v>
      </c>
      <c r="B12" t="s">
        <v>32</v>
      </c>
      <c r="C12" t="s">
        <v>18</v>
      </c>
      <c r="D12">
        <v>178314</v>
      </c>
      <c r="E12">
        <v>48175</v>
      </c>
      <c r="F12">
        <v>511</v>
      </c>
      <c r="G12">
        <v>160560</v>
      </c>
      <c r="H12" t="s">
        <v>54</v>
      </c>
      <c r="I12" t="s">
        <v>20</v>
      </c>
      <c r="J12" t="s">
        <v>42</v>
      </c>
      <c r="K12" t="s">
        <v>55</v>
      </c>
      <c r="L12" t="s">
        <v>56</v>
      </c>
      <c r="M12">
        <v>85.2</v>
      </c>
      <c r="N12">
        <v>133306</v>
      </c>
      <c r="O12">
        <f>YEAR(Table1[[#This Row],[Date]])</f>
        <v>2025</v>
      </c>
      <c r="P12" t="str">
        <f>TEXT(Table1[[#This Row],[Date]],"MMM")</f>
        <v>Jan</v>
      </c>
      <c r="Q12">
        <f>Table1[[#This Row],[Revenue]]-Table1[[#This Row],[Expenses]]</f>
        <v>130139</v>
      </c>
    </row>
    <row r="13" spans="1:17" x14ac:dyDescent="0.3">
      <c r="A13" s="2">
        <v>45669</v>
      </c>
      <c r="B13" t="s">
        <v>17</v>
      </c>
      <c r="C13" t="s">
        <v>24</v>
      </c>
      <c r="D13">
        <v>124855</v>
      </c>
      <c r="E13">
        <v>95380</v>
      </c>
      <c r="F13">
        <v>1339</v>
      </c>
      <c r="G13">
        <v>116527</v>
      </c>
      <c r="H13" t="s">
        <v>34</v>
      </c>
      <c r="I13" t="s">
        <v>37</v>
      </c>
      <c r="J13" t="s">
        <v>3</v>
      </c>
      <c r="K13" t="s">
        <v>24</v>
      </c>
      <c r="L13" t="s">
        <v>57</v>
      </c>
      <c r="M13">
        <v>90.2</v>
      </c>
      <c r="N13">
        <v>30335</v>
      </c>
      <c r="O13">
        <f>YEAR(Table1[[#This Row],[Date]])</f>
        <v>2025</v>
      </c>
      <c r="P13" t="str">
        <f>TEXT(Table1[[#This Row],[Date]],"MMM")</f>
        <v>Jan</v>
      </c>
      <c r="Q13">
        <f>Table1[[#This Row],[Revenue]]-Table1[[#This Row],[Expenses]]</f>
        <v>29475</v>
      </c>
    </row>
    <row r="14" spans="1:17" x14ac:dyDescent="0.3">
      <c r="A14" s="2">
        <v>45670</v>
      </c>
      <c r="B14" t="s">
        <v>17</v>
      </c>
      <c r="C14" t="s">
        <v>41</v>
      </c>
      <c r="D14">
        <v>278619</v>
      </c>
      <c r="E14">
        <v>188419</v>
      </c>
      <c r="F14">
        <v>1079</v>
      </c>
      <c r="G14">
        <v>292750</v>
      </c>
      <c r="H14" t="s">
        <v>58</v>
      </c>
      <c r="I14" t="s">
        <v>37</v>
      </c>
      <c r="J14" t="s">
        <v>21</v>
      </c>
      <c r="K14" t="s">
        <v>43</v>
      </c>
      <c r="L14" t="s">
        <v>59</v>
      </c>
      <c r="M14">
        <v>81.900000000000006</v>
      </c>
      <c r="N14">
        <v>91367</v>
      </c>
      <c r="O14">
        <f>YEAR(Table1[[#This Row],[Date]])</f>
        <v>2025</v>
      </c>
      <c r="P14" t="str">
        <f>TEXT(Table1[[#This Row],[Date]],"MMM")</f>
        <v>Jan</v>
      </c>
      <c r="Q14">
        <f>Table1[[#This Row],[Revenue]]-Table1[[#This Row],[Expenses]]</f>
        <v>90200</v>
      </c>
    </row>
    <row r="15" spans="1:17" x14ac:dyDescent="0.3">
      <c r="A15" s="2">
        <v>45671</v>
      </c>
      <c r="B15" t="s">
        <v>28</v>
      </c>
      <c r="C15" t="s">
        <v>18</v>
      </c>
      <c r="D15">
        <v>170113</v>
      </c>
      <c r="E15">
        <v>56234</v>
      </c>
      <c r="F15">
        <v>1208</v>
      </c>
      <c r="G15">
        <v>177949</v>
      </c>
      <c r="H15" t="s">
        <v>25</v>
      </c>
      <c r="I15" t="s">
        <v>26</v>
      </c>
      <c r="J15" t="s">
        <v>29</v>
      </c>
      <c r="K15" t="s">
        <v>49</v>
      </c>
      <c r="L15" t="s">
        <v>60</v>
      </c>
      <c r="M15">
        <v>87.8</v>
      </c>
      <c r="N15">
        <v>108177</v>
      </c>
      <c r="O15">
        <f>YEAR(Table1[[#This Row],[Date]])</f>
        <v>2025</v>
      </c>
      <c r="P15" t="str">
        <f>TEXT(Table1[[#This Row],[Date]],"MMM")</f>
        <v>Jan</v>
      </c>
      <c r="Q15">
        <f>Table1[[#This Row],[Revenue]]-Table1[[#This Row],[Expenses]]</f>
        <v>113879</v>
      </c>
    </row>
    <row r="16" spans="1:17" x14ac:dyDescent="0.3">
      <c r="A16" s="2">
        <v>45672</v>
      </c>
      <c r="B16" t="s">
        <v>28</v>
      </c>
      <c r="C16" t="s">
        <v>39</v>
      </c>
      <c r="D16">
        <v>114678</v>
      </c>
      <c r="E16">
        <v>78515</v>
      </c>
      <c r="F16">
        <v>1117</v>
      </c>
      <c r="G16">
        <v>108298</v>
      </c>
      <c r="H16" t="s">
        <v>58</v>
      </c>
      <c r="I16" t="s">
        <v>26</v>
      </c>
      <c r="J16" t="s">
        <v>51</v>
      </c>
      <c r="K16" t="s">
        <v>49</v>
      </c>
      <c r="L16" t="s">
        <v>61</v>
      </c>
      <c r="M16">
        <v>93.4</v>
      </c>
      <c r="N16">
        <v>37872</v>
      </c>
      <c r="O16">
        <f>YEAR(Table1[[#This Row],[Date]])</f>
        <v>2025</v>
      </c>
      <c r="P16" t="str">
        <f>TEXT(Table1[[#This Row],[Date]],"MMM")</f>
        <v>Jan</v>
      </c>
      <c r="Q16">
        <f>Table1[[#This Row],[Revenue]]-Table1[[#This Row],[Expenses]]</f>
        <v>36163</v>
      </c>
    </row>
    <row r="17" spans="1:17" x14ac:dyDescent="0.3">
      <c r="A17" s="2">
        <v>45673</v>
      </c>
      <c r="B17" t="s">
        <v>45</v>
      </c>
      <c r="C17" t="s">
        <v>41</v>
      </c>
      <c r="D17">
        <v>197449</v>
      </c>
      <c r="E17">
        <v>88377</v>
      </c>
      <c r="F17">
        <v>390</v>
      </c>
      <c r="G17">
        <v>201003</v>
      </c>
      <c r="H17" t="s">
        <v>58</v>
      </c>
      <c r="I17" t="s">
        <v>20</v>
      </c>
      <c r="J17" t="s">
        <v>3</v>
      </c>
      <c r="K17" t="s">
        <v>49</v>
      </c>
      <c r="L17" t="s">
        <v>62</v>
      </c>
      <c r="M17">
        <v>85.8</v>
      </c>
      <c r="N17">
        <v>99546</v>
      </c>
      <c r="O17">
        <f>YEAR(Table1[[#This Row],[Date]])</f>
        <v>2025</v>
      </c>
      <c r="P17" t="str">
        <f>TEXT(Table1[[#This Row],[Date]],"MMM")</f>
        <v>Jan</v>
      </c>
      <c r="Q17">
        <f>Table1[[#This Row],[Revenue]]-Table1[[#This Row],[Expenses]]</f>
        <v>109072</v>
      </c>
    </row>
    <row r="18" spans="1:17" x14ac:dyDescent="0.3">
      <c r="A18" s="2">
        <v>45674</v>
      </c>
      <c r="B18" t="s">
        <v>17</v>
      </c>
      <c r="C18" t="s">
        <v>18</v>
      </c>
      <c r="D18">
        <v>294442</v>
      </c>
      <c r="E18">
        <v>41318</v>
      </c>
      <c r="F18">
        <v>1013</v>
      </c>
      <c r="G18">
        <v>277411</v>
      </c>
      <c r="H18" t="s">
        <v>34</v>
      </c>
      <c r="I18" t="s">
        <v>20</v>
      </c>
      <c r="J18" t="s">
        <v>42</v>
      </c>
      <c r="K18" t="s">
        <v>35</v>
      </c>
      <c r="L18" t="s">
        <v>63</v>
      </c>
      <c r="M18">
        <v>98</v>
      </c>
      <c r="N18">
        <v>266602</v>
      </c>
      <c r="O18">
        <f>YEAR(Table1[[#This Row],[Date]])</f>
        <v>2025</v>
      </c>
      <c r="P18" t="str">
        <f>TEXT(Table1[[#This Row],[Date]],"MMM")</f>
        <v>Jan</v>
      </c>
      <c r="Q18">
        <f>Table1[[#This Row],[Revenue]]-Table1[[#This Row],[Expenses]]</f>
        <v>253124</v>
      </c>
    </row>
    <row r="19" spans="1:17" x14ac:dyDescent="0.3">
      <c r="A19" s="2">
        <v>45675</v>
      </c>
      <c r="B19" t="s">
        <v>32</v>
      </c>
      <c r="C19" t="s">
        <v>18</v>
      </c>
      <c r="D19">
        <v>185819</v>
      </c>
      <c r="E19">
        <v>124626</v>
      </c>
      <c r="F19">
        <v>1027</v>
      </c>
      <c r="G19">
        <v>187531</v>
      </c>
      <c r="H19" t="s">
        <v>25</v>
      </c>
      <c r="I19" t="s">
        <v>26</v>
      </c>
      <c r="J19" t="s">
        <v>51</v>
      </c>
      <c r="K19" t="s">
        <v>52</v>
      </c>
      <c r="L19" t="s">
        <v>64</v>
      </c>
      <c r="M19">
        <v>87.7</v>
      </c>
      <c r="N19">
        <v>66378</v>
      </c>
      <c r="O19">
        <f>YEAR(Table1[[#This Row],[Date]])</f>
        <v>2025</v>
      </c>
      <c r="P19" t="str">
        <f>TEXT(Table1[[#This Row],[Date]],"MMM")</f>
        <v>Jan</v>
      </c>
      <c r="Q19">
        <f>Table1[[#This Row],[Revenue]]-Table1[[#This Row],[Expenses]]</f>
        <v>61193</v>
      </c>
    </row>
    <row r="20" spans="1:17" x14ac:dyDescent="0.3">
      <c r="A20" s="2">
        <v>45676</v>
      </c>
      <c r="B20" t="s">
        <v>32</v>
      </c>
      <c r="C20" t="s">
        <v>24</v>
      </c>
      <c r="D20">
        <v>161168</v>
      </c>
      <c r="E20">
        <v>59114</v>
      </c>
      <c r="F20">
        <v>590</v>
      </c>
      <c r="G20">
        <v>158355</v>
      </c>
      <c r="H20" t="s">
        <v>25</v>
      </c>
      <c r="I20" t="s">
        <v>37</v>
      </c>
      <c r="J20" t="s">
        <v>3</v>
      </c>
      <c r="K20" t="s">
        <v>24</v>
      </c>
      <c r="L20" t="s">
        <v>65</v>
      </c>
      <c r="M20">
        <v>92.3</v>
      </c>
      <c r="N20">
        <v>104563</v>
      </c>
      <c r="O20">
        <f>YEAR(Table1[[#This Row],[Date]])</f>
        <v>2025</v>
      </c>
      <c r="P20" t="str">
        <f>TEXT(Table1[[#This Row],[Date]],"MMM")</f>
        <v>Jan</v>
      </c>
      <c r="Q20">
        <f>Table1[[#This Row],[Revenue]]-Table1[[#This Row],[Expenses]]</f>
        <v>102054</v>
      </c>
    </row>
    <row r="21" spans="1:17" x14ac:dyDescent="0.3">
      <c r="A21" s="2">
        <v>45677</v>
      </c>
      <c r="B21" t="s">
        <v>17</v>
      </c>
      <c r="C21" t="s">
        <v>39</v>
      </c>
      <c r="D21">
        <v>104055</v>
      </c>
      <c r="E21">
        <v>81352</v>
      </c>
      <c r="F21">
        <v>822</v>
      </c>
      <c r="G21">
        <v>100549</v>
      </c>
      <c r="H21" t="s">
        <v>34</v>
      </c>
      <c r="I21" t="s">
        <v>37</v>
      </c>
      <c r="J21" t="s">
        <v>29</v>
      </c>
      <c r="K21" t="s">
        <v>35</v>
      </c>
      <c r="L21" t="s">
        <v>66</v>
      </c>
      <c r="M21">
        <v>93.4</v>
      </c>
      <c r="N21">
        <v>21761</v>
      </c>
      <c r="O21">
        <f>YEAR(Table1[[#This Row],[Date]])</f>
        <v>2025</v>
      </c>
      <c r="P21" t="str">
        <f>TEXT(Table1[[#This Row],[Date]],"MMM")</f>
        <v>Jan</v>
      </c>
      <c r="Q21">
        <f>Table1[[#This Row],[Revenue]]-Table1[[#This Row],[Expenses]]</f>
        <v>22703</v>
      </c>
    </row>
    <row r="22" spans="1:17" x14ac:dyDescent="0.3">
      <c r="A22" s="2">
        <v>45678</v>
      </c>
      <c r="B22" t="s">
        <v>28</v>
      </c>
      <c r="C22" t="s">
        <v>24</v>
      </c>
      <c r="D22">
        <v>155482</v>
      </c>
      <c r="E22">
        <v>77797</v>
      </c>
      <c r="F22">
        <v>1267</v>
      </c>
      <c r="G22">
        <v>147151</v>
      </c>
      <c r="H22" t="s">
        <v>34</v>
      </c>
      <c r="I22" t="s">
        <v>37</v>
      </c>
      <c r="J22" t="s">
        <v>42</v>
      </c>
      <c r="K22" t="s">
        <v>46</v>
      </c>
      <c r="L22" t="s">
        <v>36</v>
      </c>
      <c r="M22">
        <v>94.3</v>
      </c>
      <c r="N22">
        <v>75127</v>
      </c>
      <c r="O22">
        <f>YEAR(Table1[[#This Row],[Date]])</f>
        <v>2025</v>
      </c>
      <c r="P22" t="str">
        <f>TEXT(Table1[[#This Row],[Date]],"MMM")</f>
        <v>Jan</v>
      </c>
      <c r="Q22">
        <f>Table1[[#This Row],[Revenue]]-Table1[[#This Row],[Expenses]]</f>
        <v>77685</v>
      </c>
    </row>
    <row r="23" spans="1:17" x14ac:dyDescent="0.3">
      <c r="A23" s="2">
        <v>45679</v>
      </c>
      <c r="B23" t="s">
        <v>45</v>
      </c>
      <c r="C23" t="s">
        <v>41</v>
      </c>
      <c r="D23">
        <v>237715</v>
      </c>
      <c r="E23">
        <v>160209</v>
      </c>
      <c r="F23">
        <v>250</v>
      </c>
      <c r="G23">
        <v>235281</v>
      </c>
      <c r="H23" t="s">
        <v>19</v>
      </c>
      <c r="I23" t="s">
        <v>26</v>
      </c>
      <c r="J23" t="s">
        <v>21</v>
      </c>
      <c r="K23" t="s">
        <v>49</v>
      </c>
      <c r="L23" t="s">
        <v>67</v>
      </c>
      <c r="M23">
        <v>98.9</v>
      </c>
      <c r="N23">
        <v>72185</v>
      </c>
      <c r="O23">
        <f>YEAR(Table1[[#This Row],[Date]])</f>
        <v>2025</v>
      </c>
      <c r="P23" t="str">
        <f>TEXT(Table1[[#This Row],[Date]],"MMM")</f>
        <v>Jan</v>
      </c>
      <c r="Q23">
        <f>Table1[[#This Row],[Revenue]]-Table1[[#This Row],[Expenses]]</f>
        <v>77506</v>
      </c>
    </row>
    <row r="24" spans="1:17" x14ac:dyDescent="0.3">
      <c r="A24" s="2">
        <v>45680</v>
      </c>
      <c r="B24" t="s">
        <v>28</v>
      </c>
      <c r="C24" t="s">
        <v>48</v>
      </c>
      <c r="D24">
        <v>92463</v>
      </c>
      <c r="E24">
        <v>70713</v>
      </c>
      <c r="F24">
        <v>1085</v>
      </c>
      <c r="G24">
        <v>90317</v>
      </c>
      <c r="H24" t="s">
        <v>34</v>
      </c>
      <c r="I24" t="s">
        <v>20</v>
      </c>
      <c r="J24" t="s">
        <v>51</v>
      </c>
      <c r="K24" t="s">
        <v>22</v>
      </c>
      <c r="L24" t="s">
        <v>68</v>
      </c>
      <c r="M24">
        <v>86.6</v>
      </c>
      <c r="N24">
        <v>20978</v>
      </c>
      <c r="O24">
        <f>YEAR(Table1[[#This Row],[Date]])</f>
        <v>2025</v>
      </c>
      <c r="P24" t="str">
        <f>TEXT(Table1[[#This Row],[Date]],"MMM")</f>
        <v>Jan</v>
      </c>
      <c r="Q24">
        <f>Table1[[#This Row],[Revenue]]-Table1[[#This Row],[Expenses]]</f>
        <v>21750</v>
      </c>
    </row>
    <row r="25" spans="1:17" x14ac:dyDescent="0.3">
      <c r="A25" s="2">
        <v>45681</v>
      </c>
      <c r="B25" t="s">
        <v>17</v>
      </c>
      <c r="C25" t="s">
        <v>48</v>
      </c>
      <c r="D25">
        <v>175802</v>
      </c>
      <c r="E25">
        <v>73510</v>
      </c>
      <c r="F25">
        <v>1223</v>
      </c>
      <c r="G25">
        <v>180721</v>
      </c>
      <c r="H25" t="s">
        <v>54</v>
      </c>
      <c r="I25" t="s">
        <v>26</v>
      </c>
      <c r="J25" t="s">
        <v>29</v>
      </c>
      <c r="K25" t="s">
        <v>24</v>
      </c>
      <c r="L25" t="s">
        <v>66</v>
      </c>
      <c r="M25">
        <v>78.7</v>
      </c>
      <c r="N25">
        <v>96230</v>
      </c>
      <c r="O25">
        <f>YEAR(Table1[[#This Row],[Date]])</f>
        <v>2025</v>
      </c>
      <c r="P25" t="str">
        <f>TEXT(Table1[[#This Row],[Date]],"MMM")</f>
        <v>Jan</v>
      </c>
      <c r="Q25">
        <f>Table1[[#This Row],[Revenue]]-Table1[[#This Row],[Expenses]]</f>
        <v>102292</v>
      </c>
    </row>
    <row r="26" spans="1:17" x14ac:dyDescent="0.3">
      <c r="A26" s="2">
        <v>45682</v>
      </c>
      <c r="B26" t="s">
        <v>32</v>
      </c>
      <c r="C26" t="s">
        <v>33</v>
      </c>
      <c r="D26">
        <v>285131</v>
      </c>
      <c r="E26">
        <v>170766</v>
      </c>
      <c r="F26">
        <v>1379</v>
      </c>
      <c r="G26">
        <v>312875</v>
      </c>
      <c r="H26" t="s">
        <v>58</v>
      </c>
      <c r="I26" t="s">
        <v>26</v>
      </c>
      <c r="J26" t="s">
        <v>29</v>
      </c>
      <c r="K26" t="s">
        <v>49</v>
      </c>
      <c r="L26" t="s">
        <v>56</v>
      </c>
      <c r="M26">
        <v>97.5</v>
      </c>
      <c r="N26">
        <v>104484</v>
      </c>
      <c r="O26">
        <f>YEAR(Table1[[#This Row],[Date]])</f>
        <v>2025</v>
      </c>
      <c r="P26" t="str">
        <f>TEXT(Table1[[#This Row],[Date]],"MMM")</f>
        <v>Jan</v>
      </c>
      <c r="Q26">
        <f>Table1[[#This Row],[Revenue]]-Table1[[#This Row],[Expenses]]</f>
        <v>114365</v>
      </c>
    </row>
    <row r="27" spans="1:17" x14ac:dyDescent="0.3">
      <c r="A27" s="2">
        <v>45683</v>
      </c>
      <c r="B27" t="s">
        <v>17</v>
      </c>
      <c r="C27" t="s">
        <v>33</v>
      </c>
      <c r="D27">
        <v>196400</v>
      </c>
      <c r="E27">
        <v>30367</v>
      </c>
      <c r="F27">
        <v>1003</v>
      </c>
      <c r="G27">
        <v>193170</v>
      </c>
      <c r="H27" t="s">
        <v>19</v>
      </c>
      <c r="I27" t="s">
        <v>26</v>
      </c>
      <c r="J27" t="s">
        <v>51</v>
      </c>
      <c r="K27" t="s">
        <v>30</v>
      </c>
      <c r="L27" t="s">
        <v>69</v>
      </c>
      <c r="M27">
        <v>84.9</v>
      </c>
      <c r="N27">
        <v>153351</v>
      </c>
      <c r="O27">
        <f>YEAR(Table1[[#This Row],[Date]])</f>
        <v>2025</v>
      </c>
      <c r="P27" t="str">
        <f>TEXT(Table1[[#This Row],[Date]],"MMM")</f>
        <v>Jan</v>
      </c>
      <c r="Q27">
        <f>Table1[[#This Row],[Revenue]]-Table1[[#This Row],[Expenses]]</f>
        <v>166033</v>
      </c>
    </row>
    <row r="28" spans="1:17" x14ac:dyDescent="0.3">
      <c r="A28" s="2">
        <v>45684</v>
      </c>
      <c r="B28" t="s">
        <v>45</v>
      </c>
      <c r="C28" t="s">
        <v>33</v>
      </c>
      <c r="D28">
        <v>91209</v>
      </c>
      <c r="E28">
        <v>71640</v>
      </c>
      <c r="F28">
        <v>200</v>
      </c>
      <c r="G28">
        <v>90156</v>
      </c>
      <c r="H28" t="s">
        <v>54</v>
      </c>
      <c r="I28" t="s">
        <v>37</v>
      </c>
      <c r="J28" t="s">
        <v>51</v>
      </c>
      <c r="K28" t="s">
        <v>49</v>
      </c>
      <c r="L28" t="s">
        <v>70</v>
      </c>
      <c r="M28">
        <v>94.2</v>
      </c>
      <c r="N28">
        <v>20607</v>
      </c>
      <c r="O28">
        <f>YEAR(Table1[[#This Row],[Date]])</f>
        <v>2025</v>
      </c>
      <c r="P28" t="str">
        <f>TEXT(Table1[[#This Row],[Date]],"MMM")</f>
        <v>Jan</v>
      </c>
      <c r="Q28">
        <f>Table1[[#This Row],[Revenue]]-Table1[[#This Row],[Expenses]]</f>
        <v>19569</v>
      </c>
    </row>
    <row r="29" spans="1:17" x14ac:dyDescent="0.3">
      <c r="A29" s="2">
        <v>45685</v>
      </c>
      <c r="B29" t="s">
        <v>17</v>
      </c>
      <c r="C29" t="s">
        <v>39</v>
      </c>
      <c r="D29">
        <v>235561</v>
      </c>
      <c r="E29">
        <v>51961</v>
      </c>
      <c r="F29">
        <v>828</v>
      </c>
      <c r="G29">
        <v>257315</v>
      </c>
      <c r="H29" t="s">
        <v>25</v>
      </c>
      <c r="I29" t="s">
        <v>26</v>
      </c>
      <c r="J29" t="s">
        <v>29</v>
      </c>
      <c r="K29" t="s">
        <v>71</v>
      </c>
      <c r="L29" t="s">
        <v>72</v>
      </c>
      <c r="M29">
        <v>95.4</v>
      </c>
      <c r="N29">
        <v>200002</v>
      </c>
      <c r="O29">
        <f>YEAR(Table1[[#This Row],[Date]])</f>
        <v>2025</v>
      </c>
      <c r="P29" t="str">
        <f>TEXT(Table1[[#This Row],[Date]],"MMM")</f>
        <v>Jan</v>
      </c>
      <c r="Q29">
        <f>Table1[[#This Row],[Revenue]]-Table1[[#This Row],[Expenses]]</f>
        <v>183600</v>
      </c>
    </row>
    <row r="30" spans="1:17" x14ac:dyDescent="0.3">
      <c r="A30" s="2">
        <v>45686</v>
      </c>
      <c r="B30" t="s">
        <v>32</v>
      </c>
      <c r="C30" t="s">
        <v>33</v>
      </c>
      <c r="D30">
        <v>222331</v>
      </c>
      <c r="E30">
        <v>108730</v>
      </c>
      <c r="F30">
        <v>1074</v>
      </c>
      <c r="G30">
        <v>232517</v>
      </c>
      <c r="H30" t="s">
        <v>19</v>
      </c>
      <c r="I30" t="s">
        <v>20</v>
      </c>
      <c r="J30" t="s">
        <v>42</v>
      </c>
      <c r="K30" t="s">
        <v>24</v>
      </c>
      <c r="L30" t="s">
        <v>73</v>
      </c>
      <c r="M30">
        <v>95.4</v>
      </c>
      <c r="N30">
        <v>113982</v>
      </c>
      <c r="O30">
        <f>YEAR(Table1[[#This Row],[Date]])</f>
        <v>2025</v>
      </c>
      <c r="P30" t="str">
        <f>TEXT(Table1[[#This Row],[Date]],"MMM")</f>
        <v>Jan</v>
      </c>
      <c r="Q30">
        <f>Table1[[#This Row],[Revenue]]-Table1[[#This Row],[Expenses]]</f>
        <v>113601</v>
      </c>
    </row>
    <row r="31" spans="1:17" x14ac:dyDescent="0.3">
      <c r="A31" s="2">
        <v>45687</v>
      </c>
      <c r="B31" t="s">
        <v>32</v>
      </c>
      <c r="C31" t="s">
        <v>41</v>
      </c>
      <c r="D31">
        <v>203316</v>
      </c>
      <c r="E31">
        <v>160576</v>
      </c>
      <c r="F31">
        <v>232</v>
      </c>
      <c r="G31">
        <v>206193</v>
      </c>
      <c r="H31" t="s">
        <v>34</v>
      </c>
      <c r="I31" t="s">
        <v>20</v>
      </c>
      <c r="J31" t="s">
        <v>51</v>
      </c>
      <c r="K31" t="s">
        <v>49</v>
      </c>
      <c r="L31" t="s">
        <v>74</v>
      </c>
      <c r="M31">
        <v>91.7</v>
      </c>
      <c r="N31">
        <v>42352</v>
      </c>
      <c r="O31">
        <f>YEAR(Table1[[#This Row],[Date]])</f>
        <v>2025</v>
      </c>
      <c r="P31" t="str">
        <f>TEXT(Table1[[#This Row],[Date]],"MMM")</f>
        <v>Jan</v>
      </c>
      <c r="Q31">
        <f>Table1[[#This Row],[Revenue]]-Table1[[#This Row],[Expenses]]</f>
        <v>42740</v>
      </c>
    </row>
    <row r="32" spans="1:17" x14ac:dyDescent="0.3">
      <c r="A32" s="2">
        <v>45688</v>
      </c>
      <c r="B32" t="s">
        <v>45</v>
      </c>
      <c r="C32" t="s">
        <v>39</v>
      </c>
      <c r="D32">
        <v>90505</v>
      </c>
      <c r="E32">
        <v>54241</v>
      </c>
      <c r="F32">
        <v>1212</v>
      </c>
      <c r="G32">
        <v>96904</v>
      </c>
      <c r="H32" t="s">
        <v>25</v>
      </c>
      <c r="I32" t="s">
        <v>26</v>
      </c>
      <c r="J32" t="s">
        <v>51</v>
      </c>
      <c r="K32" t="s">
        <v>55</v>
      </c>
      <c r="L32" t="s">
        <v>75</v>
      </c>
      <c r="M32">
        <v>86.7</v>
      </c>
      <c r="N32">
        <v>38695</v>
      </c>
      <c r="O32">
        <f>YEAR(Table1[[#This Row],[Date]])</f>
        <v>2025</v>
      </c>
      <c r="P32" t="str">
        <f>TEXT(Table1[[#This Row],[Date]],"MMM")</f>
        <v>Jan</v>
      </c>
      <c r="Q32">
        <f>Table1[[#This Row],[Revenue]]-Table1[[#This Row],[Expenses]]</f>
        <v>36264</v>
      </c>
    </row>
    <row r="33" spans="1:17" x14ac:dyDescent="0.3">
      <c r="A33" s="2">
        <v>45689</v>
      </c>
      <c r="B33" t="s">
        <v>45</v>
      </c>
      <c r="C33" t="s">
        <v>41</v>
      </c>
      <c r="D33">
        <v>58837</v>
      </c>
      <c r="E33">
        <v>44259</v>
      </c>
      <c r="F33">
        <v>1178</v>
      </c>
      <c r="G33">
        <v>55160</v>
      </c>
      <c r="H33" t="s">
        <v>19</v>
      </c>
      <c r="I33" t="s">
        <v>26</v>
      </c>
      <c r="J33" t="s">
        <v>42</v>
      </c>
      <c r="K33" t="s">
        <v>35</v>
      </c>
      <c r="L33" t="s">
        <v>76</v>
      </c>
      <c r="M33">
        <v>91.2</v>
      </c>
      <c r="N33">
        <v>15931</v>
      </c>
      <c r="O33">
        <f>YEAR(Table1[[#This Row],[Date]])</f>
        <v>2025</v>
      </c>
      <c r="P33" t="str">
        <f>TEXT(Table1[[#This Row],[Date]],"MMM")</f>
        <v>Feb</v>
      </c>
      <c r="Q33">
        <f>Table1[[#This Row],[Revenue]]-Table1[[#This Row],[Expenses]]</f>
        <v>14578</v>
      </c>
    </row>
    <row r="34" spans="1:17" x14ac:dyDescent="0.3">
      <c r="A34" s="2">
        <v>45690</v>
      </c>
      <c r="B34" t="s">
        <v>32</v>
      </c>
      <c r="C34" t="s">
        <v>41</v>
      </c>
      <c r="D34">
        <v>280747</v>
      </c>
      <c r="E34">
        <v>222946</v>
      </c>
      <c r="F34">
        <v>1070</v>
      </c>
      <c r="G34">
        <v>267731</v>
      </c>
      <c r="H34" t="s">
        <v>19</v>
      </c>
      <c r="I34" t="s">
        <v>26</v>
      </c>
      <c r="J34" t="s">
        <v>29</v>
      </c>
      <c r="K34" t="s">
        <v>49</v>
      </c>
      <c r="L34" t="s">
        <v>77</v>
      </c>
      <c r="M34">
        <v>98.2</v>
      </c>
      <c r="N34">
        <v>63001</v>
      </c>
      <c r="O34">
        <f>YEAR(Table1[[#This Row],[Date]])</f>
        <v>2025</v>
      </c>
      <c r="P34" t="str">
        <f>TEXT(Table1[[#This Row],[Date]],"MMM")</f>
        <v>Feb</v>
      </c>
      <c r="Q34">
        <f>Table1[[#This Row],[Revenue]]-Table1[[#This Row],[Expenses]]</f>
        <v>57801</v>
      </c>
    </row>
    <row r="35" spans="1:17" x14ac:dyDescent="0.3">
      <c r="A35" s="2">
        <v>45691</v>
      </c>
      <c r="B35" t="s">
        <v>32</v>
      </c>
      <c r="C35" t="s">
        <v>33</v>
      </c>
      <c r="D35">
        <v>108017</v>
      </c>
      <c r="E35">
        <v>36641</v>
      </c>
      <c r="F35">
        <v>782</v>
      </c>
      <c r="G35">
        <v>109590</v>
      </c>
      <c r="H35" t="s">
        <v>54</v>
      </c>
      <c r="I35" t="s">
        <v>20</v>
      </c>
      <c r="J35" t="s">
        <v>42</v>
      </c>
      <c r="K35" t="s">
        <v>55</v>
      </c>
      <c r="L35" t="s">
        <v>78</v>
      </c>
      <c r="M35">
        <v>96.2</v>
      </c>
      <c r="N35">
        <v>69049</v>
      </c>
      <c r="O35">
        <f>YEAR(Table1[[#This Row],[Date]])</f>
        <v>2025</v>
      </c>
      <c r="P35" t="str">
        <f>TEXT(Table1[[#This Row],[Date]],"MMM")</f>
        <v>Feb</v>
      </c>
      <c r="Q35">
        <f>Table1[[#This Row],[Revenue]]-Table1[[#This Row],[Expenses]]</f>
        <v>71376</v>
      </c>
    </row>
    <row r="36" spans="1:17" x14ac:dyDescent="0.3">
      <c r="A36" s="2">
        <v>45692</v>
      </c>
      <c r="B36" t="s">
        <v>17</v>
      </c>
      <c r="C36" t="s">
        <v>18</v>
      </c>
      <c r="D36">
        <v>199690</v>
      </c>
      <c r="E36">
        <v>139469</v>
      </c>
      <c r="F36">
        <v>1351</v>
      </c>
      <c r="G36">
        <v>215348</v>
      </c>
      <c r="H36" t="s">
        <v>25</v>
      </c>
      <c r="I36" t="s">
        <v>26</v>
      </c>
      <c r="J36" t="s">
        <v>29</v>
      </c>
      <c r="K36" t="s">
        <v>49</v>
      </c>
      <c r="L36" t="s">
        <v>79</v>
      </c>
      <c r="M36">
        <v>93.8</v>
      </c>
      <c r="N36">
        <v>56964</v>
      </c>
      <c r="O36">
        <f>YEAR(Table1[[#This Row],[Date]])</f>
        <v>2025</v>
      </c>
      <c r="P36" t="str">
        <f>TEXT(Table1[[#This Row],[Date]],"MMM")</f>
        <v>Feb</v>
      </c>
      <c r="Q36">
        <f>Table1[[#This Row],[Revenue]]-Table1[[#This Row],[Expenses]]</f>
        <v>60221</v>
      </c>
    </row>
    <row r="37" spans="1:17" x14ac:dyDescent="0.3">
      <c r="A37" s="2">
        <v>45693</v>
      </c>
      <c r="B37" t="s">
        <v>32</v>
      </c>
      <c r="C37" t="s">
        <v>48</v>
      </c>
      <c r="D37">
        <v>190516</v>
      </c>
      <c r="E37">
        <v>47108</v>
      </c>
      <c r="F37">
        <v>701</v>
      </c>
      <c r="G37">
        <v>178369</v>
      </c>
      <c r="H37" t="s">
        <v>58</v>
      </c>
      <c r="I37" t="s">
        <v>26</v>
      </c>
      <c r="J37" t="s">
        <v>21</v>
      </c>
      <c r="K37" t="s">
        <v>49</v>
      </c>
      <c r="L37" t="s">
        <v>80</v>
      </c>
      <c r="M37">
        <v>84.8</v>
      </c>
      <c r="N37">
        <v>135565</v>
      </c>
      <c r="O37">
        <f>YEAR(Table1[[#This Row],[Date]])</f>
        <v>2025</v>
      </c>
      <c r="P37" t="str">
        <f>TEXT(Table1[[#This Row],[Date]],"MMM")</f>
        <v>Feb</v>
      </c>
      <c r="Q37">
        <f>Table1[[#This Row],[Revenue]]-Table1[[#This Row],[Expenses]]</f>
        <v>143408</v>
      </c>
    </row>
    <row r="38" spans="1:17" x14ac:dyDescent="0.3">
      <c r="A38" s="2">
        <v>45694</v>
      </c>
      <c r="B38" t="s">
        <v>45</v>
      </c>
      <c r="C38" t="s">
        <v>41</v>
      </c>
      <c r="D38">
        <v>263787</v>
      </c>
      <c r="E38">
        <v>131782</v>
      </c>
      <c r="F38">
        <v>1419</v>
      </c>
      <c r="G38">
        <v>266747</v>
      </c>
      <c r="H38" t="s">
        <v>58</v>
      </c>
      <c r="I38" t="s">
        <v>26</v>
      </c>
      <c r="J38" t="s">
        <v>29</v>
      </c>
      <c r="K38" t="s">
        <v>22</v>
      </c>
      <c r="L38" t="s">
        <v>81</v>
      </c>
      <c r="M38">
        <v>86.1</v>
      </c>
      <c r="N38">
        <v>119925</v>
      </c>
      <c r="O38">
        <f>YEAR(Table1[[#This Row],[Date]])</f>
        <v>2025</v>
      </c>
      <c r="P38" t="str">
        <f>TEXT(Table1[[#This Row],[Date]],"MMM")</f>
        <v>Feb</v>
      </c>
      <c r="Q38">
        <f>Table1[[#This Row],[Revenue]]-Table1[[#This Row],[Expenses]]</f>
        <v>132005</v>
      </c>
    </row>
    <row r="39" spans="1:17" x14ac:dyDescent="0.3">
      <c r="A39" s="2">
        <v>45695</v>
      </c>
      <c r="B39" t="s">
        <v>45</v>
      </c>
      <c r="C39" t="s">
        <v>24</v>
      </c>
      <c r="D39">
        <v>234214</v>
      </c>
      <c r="E39">
        <v>58388</v>
      </c>
      <c r="F39">
        <v>1346</v>
      </c>
      <c r="G39">
        <v>250039</v>
      </c>
      <c r="H39" t="s">
        <v>54</v>
      </c>
      <c r="I39" t="s">
        <v>26</v>
      </c>
      <c r="J39" t="s">
        <v>3</v>
      </c>
      <c r="K39" t="s">
        <v>22</v>
      </c>
      <c r="L39" t="s">
        <v>82</v>
      </c>
      <c r="M39">
        <v>97.4</v>
      </c>
      <c r="N39">
        <v>178813</v>
      </c>
      <c r="O39">
        <f>YEAR(Table1[[#This Row],[Date]])</f>
        <v>2025</v>
      </c>
      <c r="P39" t="str">
        <f>TEXT(Table1[[#This Row],[Date]],"MMM")</f>
        <v>Feb</v>
      </c>
      <c r="Q39">
        <f>Table1[[#This Row],[Revenue]]-Table1[[#This Row],[Expenses]]</f>
        <v>175826</v>
      </c>
    </row>
    <row r="40" spans="1:17" x14ac:dyDescent="0.3">
      <c r="A40" s="2">
        <v>45696</v>
      </c>
      <c r="B40" t="s">
        <v>45</v>
      </c>
      <c r="C40" t="s">
        <v>48</v>
      </c>
      <c r="D40">
        <v>222223</v>
      </c>
      <c r="E40">
        <v>149281</v>
      </c>
      <c r="F40">
        <v>767</v>
      </c>
      <c r="G40">
        <v>229675</v>
      </c>
      <c r="H40" t="s">
        <v>54</v>
      </c>
      <c r="I40" t="s">
        <v>20</v>
      </c>
      <c r="J40" t="s">
        <v>21</v>
      </c>
      <c r="K40" t="s">
        <v>71</v>
      </c>
      <c r="L40" t="s">
        <v>83</v>
      </c>
      <c r="M40">
        <v>93.5</v>
      </c>
      <c r="N40">
        <v>72917</v>
      </c>
      <c r="O40">
        <f>YEAR(Table1[[#This Row],[Date]])</f>
        <v>2025</v>
      </c>
      <c r="P40" t="str">
        <f>TEXT(Table1[[#This Row],[Date]],"MMM")</f>
        <v>Feb</v>
      </c>
      <c r="Q40">
        <f>Table1[[#This Row],[Revenue]]-Table1[[#This Row],[Expenses]]</f>
        <v>72942</v>
      </c>
    </row>
    <row r="41" spans="1:17" x14ac:dyDescent="0.3">
      <c r="A41" s="2">
        <v>45697</v>
      </c>
      <c r="B41" t="s">
        <v>45</v>
      </c>
      <c r="C41" t="s">
        <v>41</v>
      </c>
      <c r="D41">
        <v>208256</v>
      </c>
      <c r="E41">
        <v>106663</v>
      </c>
      <c r="F41">
        <v>857</v>
      </c>
      <c r="G41">
        <v>225356</v>
      </c>
      <c r="H41" t="s">
        <v>25</v>
      </c>
      <c r="I41" t="s">
        <v>37</v>
      </c>
      <c r="J41" t="s">
        <v>3</v>
      </c>
      <c r="K41" t="s">
        <v>49</v>
      </c>
      <c r="L41" t="s">
        <v>47</v>
      </c>
      <c r="M41">
        <v>89.4</v>
      </c>
      <c r="N41">
        <v>91656</v>
      </c>
      <c r="O41">
        <f>YEAR(Table1[[#This Row],[Date]])</f>
        <v>2025</v>
      </c>
      <c r="P41" t="str">
        <f>TEXT(Table1[[#This Row],[Date]],"MMM")</f>
        <v>Feb</v>
      </c>
      <c r="Q41">
        <f>Table1[[#This Row],[Revenue]]-Table1[[#This Row],[Expenses]]</f>
        <v>101593</v>
      </c>
    </row>
    <row r="42" spans="1:17" x14ac:dyDescent="0.3">
      <c r="A42" s="2">
        <v>45698</v>
      </c>
      <c r="B42" t="s">
        <v>17</v>
      </c>
      <c r="C42" t="s">
        <v>33</v>
      </c>
      <c r="D42">
        <v>85659</v>
      </c>
      <c r="E42">
        <v>64879</v>
      </c>
      <c r="F42">
        <v>1123</v>
      </c>
      <c r="G42">
        <v>79783</v>
      </c>
      <c r="H42" t="s">
        <v>58</v>
      </c>
      <c r="I42" t="s">
        <v>26</v>
      </c>
      <c r="J42" t="s">
        <v>42</v>
      </c>
      <c r="K42" t="s">
        <v>49</v>
      </c>
      <c r="L42" t="s">
        <v>84</v>
      </c>
      <c r="M42">
        <v>82.1</v>
      </c>
      <c r="N42">
        <v>20095</v>
      </c>
      <c r="O42">
        <f>YEAR(Table1[[#This Row],[Date]])</f>
        <v>2025</v>
      </c>
      <c r="P42" t="str">
        <f>TEXT(Table1[[#This Row],[Date]],"MMM")</f>
        <v>Feb</v>
      </c>
      <c r="Q42">
        <f>Table1[[#This Row],[Revenue]]-Table1[[#This Row],[Expenses]]</f>
        <v>20780</v>
      </c>
    </row>
    <row r="43" spans="1:17" x14ac:dyDescent="0.3">
      <c r="A43" s="2">
        <v>45699</v>
      </c>
      <c r="B43" t="s">
        <v>32</v>
      </c>
      <c r="C43" t="s">
        <v>41</v>
      </c>
      <c r="D43">
        <v>101859</v>
      </c>
      <c r="E43">
        <v>56240</v>
      </c>
      <c r="F43">
        <v>739</v>
      </c>
      <c r="G43">
        <v>106620</v>
      </c>
      <c r="H43" t="s">
        <v>25</v>
      </c>
      <c r="I43" t="s">
        <v>20</v>
      </c>
      <c r="J43" t="s">
        <v>42</v>
      </c>
      <c r="K43" t="s">
        <v>49</v>
      </c>
      <c r="L43" t="s">
        <v>70</v>
      </c>
      <c r="M43">
        <v>83.5</v>
      </c>
      <c r="N43">
        <v>47882</v>
      </c>
      <c r="O43">
        <f>YEAR(Table1[[#This Row],[Date]])</f>
        <v>2025</v>
      </c>
      <c r="P43" t="str">
        <f>TEXT(Table1[[#This Row],[Date]],"MMM")</f>
        <v>Feb</v>
      </c>
      <c r="Q43">
        <f>Table1[[#This Row],[Revenue]]-Table1[[#This Row],[Expenses]]</f>
        <v>45619</v>
      </c>
    </row>
    <row r="44" spans="1:17" x14ac:dyDescent="0.3">
      <c r="A44" s="2">
        <v>45700</v>
      </c>
      <c r="B44" t="s">
        <v>45</v>
      </c>
      <c r="C44" t="s">
        <v>41</v>
      </c>
      <c r="D44">
        <v>288634</v>
      </c>
      <c r="E44">
        <v>170533</v>
      </c>
      <c r="F44">
        <v>501</v>
      </c>
      <c r="G44">
        <v>307981</v>
      </c>
      <c r="H44" t="s">
        <v>19</v>
      </c>
      <c r="I44" t="s">
        <v>26</v>
      </c>
      <c r="J44" t="s">
        <v>42</v>
      </c>
      <c r="K44" t="s">
        <v>49</v>
      </c>
      <c r="L44" t="s">
        <v>85</v>
      </c>
      <c r="M44">
        <v>89.9</v>
      </c>
      <c r="N44">
        <v>123145</v>
      </c>
      <c r="O44">
        <f>YEAR(Table1[[#This Row],[Date]])</f>
        <v>2025</v>
      </c>
      <c r="P44" t="str">
        <f>TEXT(Table1[[#This Row],[Date]],"MMM")</f>
        <v>Feb</v>
      </c>
      <c r="Q44">
        <f>Table1[[#This Row],[Revenue]]-Table1[[#This Row],[Expenses]]</f>
        <v>118101</v>
      </c>
    </row>
    <row r="45" spans="1:17" x14ac:dyDescent="0.3">
      <c r="A45" s="2">
        <v>45701</v>
      </c>
      <c r="B45" t="s">
        <v>17</v>
      </c>
      <c r="C45" t="s">
        <v>39</v>
      </c>
      <c r="D45">
        <v>154734</v>
      </c>
      <c r="E45">
        <v>34414</v>
      </c>
      <c r="F45">
        <v>471</v>
      </c>
      <c r="G45">
        <v>149530</v>
      </c>
      <c r="H45" t="s">
        <v>58</v>
      </c>
      <c r="I45" t="s">
        <v>37</v>
      </c>
      <c r="J45" t="s">
        <v>51</v>
      </c>
      <c r="K45" t="s">
        <v>49</v>
      </c>
      <c r="L45" t="s">
        <v>86</v>
      </c>
      <c r="M45">
        <v>90</v>
      </c>
      <c r="N45">
        <v>110435</v>
      </c>
      <c r="O45">
        <f>YEAR(Table1[[#This Row],[Date]])</f>
        <v>2025</v>
      </c>
      <c r="P45" t="str">
        <f>TEXT(Table1[[#This Row],[Date]],"MMM")</f>
        <v>Feb</v>
      </c>
      <c r="Q45">
        <f>Table1[[#This Row],[Revenue]]-Table1[[#This Row],[Expenses]]</f>
        <v>120320</v>
      </c>
    </row>
    <row r="46" spans="1:17" x14ac:dyDescent="0.3">
      <c r="A46" s="2">
        <v>45702</v>
      </c>
      <c r="B46" t="s">
        <v>32</v>
      </c>
      <c r="C46" t="s">
        <v>39</v>
      </c>
      <c r="D46">
        <v>170582</v>
      </c>
      <c r="E46">
        <v>76354</v>
      </c>
      <c r="F46">
        <v>885</v>
      </c>
      <c r="G46">
        <v>164177</v>
      </c>
      <c r="H46" t="s">
        <v>54</v>
      </c>
      <c r="I46" t="s">
        <v>20</v>
      </c>
      <c r="J46" t="s">
        <v>21</v>
      </c>
      <c r="K46" t="s">
        <v>55</v>
      </c>
      <c r="L46" t="s">
        <v>87</v>
      </c>
      <c r="M46">
        <v>82</v>
      </c>
      <c r="N46">
        <v>94802</v>
      </c>
      <c r="O46">
        <f>YEAR(Table1[[#This Row],[Date]])</f>
        <v>2025</v>
      </c>
      <c r="P46" t="str">
        <f>TEXT(Table1[[#This Row],[Date]],"MMM")</f>
        <v>Feb</v>
      </c>
      <c r="Q46">
        <f>Table1[[#This Row],[Revenue]]-Table1[[#This Row],[Expenses]]</f>
        <v>94228</v>
      </c>
    </row>
    <row r="47" spans="1:17" x14ac:dyDescent="0.3">
      <c r="A47" s="2">
        <v>45703</v>
      </c>
      <c r="B47" t="s">
        <v>17</v>
      </c>
      <c r="C47" t="s">
        <v>41</v>
      </c>
      <c r="D47">
        <v>74683</v>
      </c>
      <c r="E47">
        <v>48134</v>
      </c>
      <c r="F47">
        <v>1240</v>
      </c>
      <c r="G47">
        <v>75635</v>
      </c>
      <c r="H47" t="s">
        <v>25</v>
      </c>
      <c r="I47" t="s">
        <v>37</v>
      </c>
      <c r="J47" t="s">
        <v>51</v>
      </c>
      <c r="K47" t="s">
        <v>49</v>
      </c>
      <c r="L47" t="s">
        <v>88</v>
      </c>
      <c r="M47">
        <v>76.099999999999994</v>
      </c>
      <c r="N47">
        <v>26197</v>
      </c>
      <c r="O47">
        <f>YEAR(Table1[[#This Row],[Date]])</f>
        <v>2025</v>
      </c>
      <c r="P47" t="str">
        <f>TEXT(Table1[[#This Row],[Date]],"MMM")</f>
        <v>Feb</v>
      </c>
      <c r="Q47">
        <f>Table1[[#This Row],[Revenue]]-Table1[[#This Row],[Expenses]]</f>
        <v>26549</v>
      </c>
    </row>
    <row r="48" spans="1:17" x14ac:dyDescent="0.3">
      <c r="A48" s="2">
        <v>45704</v>
      </c>
      <c r="B48" t="s">
        <v>32</v>
      </c>
      <c r="C48" t="s">
        <v>33</v>
      </c>
      <c r="D48">
        <v>187760</v>
      </c>
      <c r="E48">
        <v>42075</v>
      </c>
      <c r="F48">
        <v>790</v>
      </c>
      <c r="G48">
        <v>180750</v>
      </c>
      <c r="H48" t="s">
        <v>54</v>
      </c>
      <c r="I48" t="s">
        <v>20</v>
      </c>
      <c r="J48" t="s">
        <v>42</v>
      </c>
      <c r="K48" t="s">
        <v>49</v>
      </c>
      <c r="L48" t="s">
        <v>89</v>
      </c>
      <c r="M48">
        <v>96.3</v>
      </c>
      <c r="N48">
        <v>142325</v>
      </c>
      <c r="O48">
        <f>YEAR(Table1[[#This Row],[Date]])</f>
        <v>2025</v>
      </c>
      <c r="P48" t="str">
        <f>TEXT(Table1[[#This Row],[Date]],"MMM")</f>
        <v>Feb</v>
      </c>
      <c r="Q48">
        <f>Table1[[#This Row],[Revenue]]-Table1[[#This Row],[Expenses]]</f>
        <v>145685</v>
      </c>
    </row>
    <row r="49" spans="1:17" x14ac:dyDescent="0.3">
      <c r="A49" s="2">
        <v>45705</v>
      </c>
      <c r="B49" t="s">
        <v>17</v>
      </c>
      <c r="C49" t="s">
        <v>33</v>
      </c>
      <c r="D49">
        <v>54220</v>
      </c>
      <c r="E49">
        <v>40563</v>
      </c>
      <c r="F49">
        <v>1248</v>
      </c>
      <c r="G49">
        <v>51231</v>
      </c>
      <c r="H49" t="s">
        <v>58</v>
      </c>
      <c r="I49" t="s">
        <v>26</v>
      </c>
      <c r="J49" t="s">
        <v>51</v>
      </c>
      <c r="K49" t="s">
        <v>49</v>
      </c>
      <c r="L49" t="s">
        <v>90</v>
      </c>
      <c r="M49">
        <v>89</v>
      </c>
      <c r="N49">
        <v>13609</v>
      </c>
      <c r="O49">
        <f>YEAR(Table1[[#This Row],[Date]])</f>
        <v>2025</v>
      </c>
      <c r="P49" t="str">
        <f>TEXT(Table1[[#This Row],[Date]],"MMM")</f>
        <v>Feb</v>
      </c>
      <c r="Q49">
        <f>Table1[[#This Row],[Revenue]]-Table1[[#This Row],[Expenses]]</f>
        <v>13657</v>
      </c>
    </row>
    <row r="50" spans="1:17" x14ac:dyDescent="0.3">
      <c r="A50" s="2">
        <v>45706</v>
      </c>
      <c r="B50" t="s">
        <v>45</v>
      </c>
      <c r="C50" t="s">
        <v>24</v>
      </c>
      <c r="D50">
        <v>150724</v>
      </c>
      <c r="E50">
        <v>104082</v>
      </c>
      <c r="F50">
        <v>593</v>
      </c>
      <c r="G50">
        <v>164641</v>
      </c>
      <c r="H50" t="s">
        <v>34</v>
      </c>
      <c r="I50" t="s">
        <v>37</v>
      </c>
      <c r="J50" t="s">
        <v>21</v>
      </c>
      <c r="K50" t="s">
        <v>24</v>
      </c>
      <c r="L50" t="s">
        <v>91</v>
      </c>
      <c r="M50">
        <v>76.400000000000006</v>
      </c>
      <c r="N50">
        <v>49977</v>
      </c>
      <c r="O50">
        <f>YEAR(Table1[[#This Row],[Date]])</f>
        <v>2025</v>
      </c>
      <c r="P50" t="str">
        <f>TEXT(Table1[[#This Row],[Date]],"MMM")</f>
        <v>Feb</v>
      </c>
      <c r="Q50">
        <f>Table1[[#This Row],[Revenue]]-Table1[[#This Row],[Expenses]]</f>
        <v>46642</v>
      </c>
    </row>
    <row r="51" spans="1:17" x14ac:dyDescent="0.3">
      <c r="A51" s="2">
        <v>45707</v>
      </c>
      <c r="B51" t="s">
        <v>45</v>
      </c>
      <c r="C51" t="s">
        <v>18</v>
      </c>
      <c r="D51">
        <v>55360</v>
      </c>
      <c r="E51">
        <v>35066</v>
      </c>
      <c r="F51">
        <v>1110</v>
      </c>
      <c r="G51">
        <v>54407</v>
      </c>
      <c r="H51" t="s">
        <v>25</v>
      </c>
      <c r="I51" t="s">
        <v>26</v>
      </c>
      <c r="J51" t="s">
        <v>29</v>
      </c>
      <c r="K51" t="s">
        <v>35</v>
      </c>
      <c r="L51" t="s">
        <v>92</v>
      </c>
      <c r="M51">
        <v>77.400000000000006</v>
      </c>
      <c r="N51">
        <v>20756</v>
      </c>
      <c r="O51">
        <f>YEAR(Table1[[#This Row],[Date]])</f>
        <v>2025</v>
      </c>
      <c r="P51" t="str">
        <f>TEXT(Table1[[#This Row],[Date]],"MMM")</f>
        <v>Feb</v>
      </c>
      <c r="Q51">
        <f>Table1[[#This Row],[Revenue]]-Table1[[#This Row],[Expenses]]</f>
        <v>20294</v>
      </c>
    </row>
    <row r="52" spans="1:17" x14ac:dyDescent="0.3">
      <c r="A52" s="2">
        <v>45708</v>
      </c>
      <c r="B52" t="s">
        <v>17</v>
      </c>
      <c r="C52" t="s">
        <v>48</v>
      </c>
      <c r="D52">
        <v>163277</v>
      </c>
      <c r="E52">
        <v>59884</v>
      </c>
      <c r="F52">
        <v>226</v>
      </c>
      <c r="G52">
        <v>162326</v>
      </c>
      <c r="H52" t="s">
        <v>19</v>
      </c>
      <c r="I52" t="s">
        <v>26</v>
      </c>
      <c r="J52" t="s">
        <v>29</v>
      </c>
      <c r="K52" t="s">
        <v>49</v>
      </c>
      <c r="L52" t="s">
        <v>93</v>
      </c>
      <c r="M52">
        <v>96</v>
      </c>
      <c r="N52">
        <v>93883</v>
      </c>
      <c r="O52">
        <f>YEAR(Table1[[#This Row],[Date]])</f>
        <v>2025</v>
      </c>
      <c r="P52" t="str">
        <f>TEXT(Table1[[#This Row],[Date]],"MMM")</f>
        <v>Feb</v>
      </c>
      <c r="Q52">
        <f>Table1[[#This Row],[Revenue]]-Table1[[#This Row],[Expenses]]</f>
        <v>103393</v>
      </c>
    </row>
    <row r="53" spans="1:17" x14ac:dyDescent="0.3">
      <c r="A53" s="2">
        <v>45709</v>
      </c>
      <c r="B53" t="s">
        <v>17</v>
      </c>
      <c r="C53" t="s">
        <v>41</v>
      </c>
      <c r="D53">
        <v>194393</v>
      </c>
      <c r="E53">
        <v>129025</v>
      </c>
      <c r="F53">
        <v>918</v>
      </c>
      <c r="G53">
        <v>177623</v>
      </c>
      <c r="H53" t="s">
        <v>34</v>
      </c>
      <c r="I53" t="s">
        <v>26</v>
      </c>
      <c r="J53" t="s">
        <v>29</v>
      </c>
      <c r="K53" t="s">
        <v>46</v>
      </c>
      <c r="L53" t="s">
        <v>94</v>
      </c>
      <c r="M53">
        <v>97.4</v>
      </c>
      <c r="N53">
        <v>68208</v>
      </c>
      <c r="O53">
        <f>YEAR(Table1[[#This Row],[Date]])</f>
        <v>2025</v>
      </c>
      <c r="P53" t="str">
        <f>TEXT(Table1[[#This Row],[Date]],"MMM")</f>
        <v>Feb</v>
      </c>
      <c r="Q53">
        <f>Table1[[#This Row],[Revenue]]-Table1[[#This Row],[Expenses]]</f>
        <v>65368</v>
      </c>
    </row>
    <row r="54" spans="1:17" x14ac:dyDescent="0.3">
      <c r="A54" s="2">
        <v>45710</v>
      </c>
      <c r="B54" t="s">
        <v>45</v>
      </c>
      <c r="C54" t="s">
        <v>33</v>
      </c>
      <c r="D54">
        <v>253258</v>
      </c>
      <c r="E54">
        <v>162982</v>
      </c>
      <c r="F54">
        <v>436</v>
      </c>
      <c r="G54">
        <v>259185</v>
      </c>
      <c r="H54" t="s">
        <v>25</v>
      </c>
      <c r="I54" t="s">
        <v>37</v>
      </c>
      <c r="J54" t="s">
        <v>3</v>
      </c>
      <c r="K54" t="s">
        <v>43</v>
      </c>
      <c r="L54" t="s">
        <v>95</v>
      </c>
      <c r="M54">
        <v>77.3</v>
      </c>
      <c r="N54">
        <v>87319</v>
      </c>
      <c r="O54">
        <f>YEAR(Table1[[#This Row],[Date]])</f>
        <v>2025</v>
      </c>
      <c r="P54" t="str">
        <f>TEXT(Table1[[#This Row],[Date]],"MMM")</f>
        <v>Feb</v>
      </c>
      <c r="Q54">
        <f>Table1[[#This Row],[Revenue]]-Table1[[#This Row],[Expenses]]</f>
        <v>90276</v>
      </c>
    </row>
    <row r="55" spans="1:17" x14ac:dyDescent="0.3">
      <c r="A55" s="2">
        <v>45711</v>
      </c>
      <c r="B55" t="s">
        <v>32</v>
      </c>
      <c r="C55" t="s">
        <v>39</v>
      </c>
      <c r="D55">
        <v>163213</v>
      </c>
      <c r="E55">
        <v>122300</v>
      </c>
      <c r="F55">
        <v>845</v>
      </c>
      <c r="G55">
        <v>169831</v>
      </c>
      <c r="H55" t="s">
        <v>25</v>
      </c>
      <c r="I55" t="s">
        <v>20</v>
      </c>
      <c r="J55" t="s">
        <v>21</v>
      </c>
      <c r="K55" t="s">
        <v>43</v>
      </c>
      <c r="L55" t="s">
        <v>96</v>
      </c>
      <c r="M55">
        <v>82</v>
      </c>
      <c r="N55">
        <v>37343</v>
      </c>
      <c r="O55">
        <f>YEAR(Table1[[#This Row],[Date]])</f>
        <v>2025</v>
      </c>
      <c r="P55" t="str">
        <f>TEXT(Table1[[#This Row],[Date]],"MMM")</f>
        <v>Feb</v>
      </c>
      <c r="Q55">
        <f>Table1[[#This Row],[Revenue]]-Table1[[#This Row],[Expenses]]</f>
        <v>40913</v>
      </c>
    </row>
    <row r="56" spans="1:17" x14ac:dyDescent="0.3">
      <c r="A56" s="2">
        <v>45712</v>
      </c>
      <c r="B56" t="s">
        <v>28</v>
      </c>
      <c r="C56" t="s">
        <v>33</v>
      </c>
      <c r="D56">
        <v>157334</v>
      </c>
      <c r="E56">
        <v>90763</v>
      </c>
      <c r="F56">
        <v>1101</v>
      </c>
      <c r="G56">
        <v>171439</v>
      </c>
      <c r="H56" t="s">
        <v>54</v>
      </c>
      <c r="I56" t="s">
        <v>26</v>
      </c>
      <c r="J56" t="s">
        <v>51</v>
      </c>
      <c r="K56" t="s">
        <v>49</v>
      </c>
      <c r="L56" t="s">
        <v>97</v>
      </c>
      <c r="M56">
        <v>76.5</v>
      </c>
      <c r="N56">
        <v>62218</v>
      </c>
      <c r="O56">
        <f>YEAR(Table1[[#This Row],[Date]])</f>
        <v>2025</v>
      </c>
      <c r="P56" t="str">
        <f>TEXT(Table1[[#This Row],[Date]],"MMM")</f>
        <v>Feb</v>
      </c>
      <c r="Q56">
        <f>Table1[[#This Row],[Revenue]]-Table1[[#This Row],[Expenses]]</f>
        <v>66571</v>
      </c>
    </row>
    <row r="57" spans="1:17" x14ac:dyDescent="0.3">
      <c r="A57" s="2">
        <v>45713</v>
      </c>
      <c r="B57" t="s">
        <v>45</v>
      </c>
      <c r="C57" t="s">
        <v>24</v>
      </c>
      <c r="D57">
        <v>51812</v>
      </c>
      <c r="E57">
        <v>35934</v>
      </c>
      <c r="F57">
        <v>1371</v>
      </c>
      <c r="G57">
        <v>55657</v>
      </c>
      <c r="H57" t="s">
        <v>34</v>
      </c>
      <c r="I57" t="s">
        <v>26</v>
      </c>
      <c r="J57" t="s">
        <v>21</v>
      </c>
      <c r="K57" t="s">
        <v>49</v>
      </c>
      <c r="L57" t="s">
        <v>98</v>
      </c>
      <c r="M57">
        <v>88.3</v>
      </c>
      <c r="N57">
        <v>16623</v>
      </c>
      <c r="O57">
        <f>YEAR(Table1[[#This Row],[Date]])</f>
        <v>2025</v>
      </c>
      <c r="P57" t="str">
        <f>TEXT(Table1[[#This Row],[Date]],"MMM")</f>
        <v>Feb</v>
      </c>
      <c r="Q57">
        <f>Table1[[#This Row],[Revenue]]-Table1[[#This Row],[Expenses]]</f>
        <v>15878</v>
      </c>
    </row>
    <row r="58" spans="1:17" x14ac:dyDescent="0.3">
      <c r="A58" s="2">
        <v>45714</v>
      </c>
      <c r="B58" t="s">
        <v>32</v>
      </c>
      <c r="C58" t="s">
        <v>39</v>
      </c>
      <c r="D58">
        <v>64996</v>
      </c>
      <c r="E58">
        <v>36352</v>
      </c>
      <c r="F58">
        <v>957</v>
      </c>
      <c r="G58">
        <v>64893</v>
      </c>
      <c r="H58" t="s">
        <v>54</v>
      </c>
      <c r="I58" t="s">
        <v>37</v>
      </c>
      <c r="J58" t="s">
        <v>42</v>
      </c>
      <c r="K58" t="s">
        <v>30</v>
      </c>
      <c r="L58" t="s">
        <v>67</v>
      </c>
      <c r="M58">
        <v>87.5</v>
      </c>
      <c r="N58">
        <v>25959</v>
      </c>
      <c r="O58">
        <f>YEAR(Table1[[#This Row],[Date]])</f>
        <v>2025</v>
      </c>
      <c r="P58" t="str">
        <f>TEXT(Table1[[#This Row],[Date]],"MMM")</f>
        <v>Feb</v>
      </c>
      <c r="Q58">
        <f>Table1[[#This Row],[Revenue]]-Table1[[#This Row],[Expenses]]</f>
        <v>28644</v>
      </c>
    </row>
    <row r="59" spans="1:17" x14ac:dyDescent="0.3">
      <c r="A59" s="2">
        <v>45715</v>
      </c>
      <c r="B59" t="s">
        <v>45</v>
      </c>
      <c r="C59" t="s">
        <v>33</v>
      </c>
      <c r="D59">
        <v>250530</v>
      </c>
      <c r="E59">
        <v>141432</v>
      </c>
      <c r="F59">
        <v>1378</v>
      </c>
      <c r="G59">
        <v>226647</v>
      </c>
      <c r="H59" t="s">
        <v>58</v>
      </c>
      <c r="I59" t="s">
        <v>26</v>
      </c>
      <c r="J59" t="s">
        <v>42</v>
      </c>
      <c r="K59" t="s">
        <v>49</v>
      </c>
      <c r="L59" t="s">
        <v>99</v>
      </c>
      <c r="M59">
        <v>94.1</v>
      </c>
      <c r="N59">
        <v>103721</v>
      </c>
      <c r="O59">
        <f>YEAR(Table1[[#This Row],[Date]])</f>
        <v>2025</v>
      </c>
      <c r="P59" t="str">
        <f>TEXT(Table1[[#This Row],[Date]],"MMM")</f>
        <v>Feb</v>
      </c>
      <c r="Q59">
        <f>Table1[[#This Row],[Revenue]]-Table1[[#This Row],[Expenses]]</f>
        <v>109098</v>
      </c>
    </row>
    <row r="60" spans="1:17" x14ac:dyDescent="0.3">
      <c r="A60" s="2">
        <v>45716</v>
      </c>
      <c r="B60" t="s">
        <v>32</v>
      </c>
      <c r="C60" t="s">
        <v>18</v>
      </c>
      <c r="D60">
        <v>246498</v>
      </c>
      <c r="E60">
        <v>110512</v>
      </c>
      <c r="F60">
        <v>1428</v>
      </c>
      <c r="G60">
        <v>224997</v>
      </c>
      <c r="H60" t="s">
        <v>54</v>
      </c>
      <c r="I60" t="s">
        <v>20</v>
      </c>
      <c r="J60" t="s">
        <v>29</v>
      </c>
      <c r="K60" t="s">
        <v>35</v>
      </c>
      <c r="L60" t="s">
        <v>100</v>
      </c>
      <c r="M60">
        <v>91.7</v>
      </c>
      <c r="N60">
        <v>141890</v>
      </c>
      <c r="O60">
        <f>YEAR(Table1[[#This Row],[Date]])</f>
        <v>2025</v>
      </c>
      <c r="P60" t="str">
        <f>TEXT(Table1[[#This Row],[Date]],"MMM")</f>
        <v>Feb</v>
      </c>
      <c r="Q60">
        <f>Table1[[#This Row],[Revenue]]-Table1[[#This Row],[Expenses]]</f>
        <v>135986</v>
      </c>
    </row>
    <row r="61" spans="1:17" x14ac:dyDescent="0.3">
      <c r="A61" s="2">
        <v>45717</v>
      </c>
      <c r="B61" t="s">
        <v>17</v>
      </c>
      <c r="C61" t="s">
        <v>33</v>
      </c>
      <c r="D61">
        <v>277680</v>
      </c>
      <c r="E61">
        <v>183641</v>
      </c>
      <c r="F61">
        <v>1439</v>
      </c>
      <c r="G61">
        <v>260561</v>
      </c>
      <c r="H61" t="s">
        <v>25</v>
      </c>
      <c r="I61" t="s">
        <v>20</v>
      </c>
      <c r="J61" t="s">
        <v>42</v>
      </c>
      <c r="K61" t="s">
        <v>24</v>
      </c>
      <c r="L61" t="s">
        <v>101</v>
      </c>
      <c r="M61">
        <v>83.1</v>
      </c>
      <c r="N61">
        <v>86612</v>
      </c>
      <c r="O61">
        <f>YEAR(Table1[[#This Row],[Date]])</f>
        <v>2025</v>
      </c>
      <c r="P61" t="str">
        <f>TEXT(Table1[[#This Row],[Date]],"MMM")</f>
        <v>Mar</v>
      </c>
      <c r="Q61">
        <f>Table1[[#This Row],[Revenue]]-Table1[[#This Row],[Expenses]]</f>
        <v>94039</v>
      </c>
    </row>
    <row r="62" spans="1:17" x14ac:dyDescent="0.3">
      <c r="A62" s="2">
        <v>45718</v>
      </c>
      <c r="B62" t="s">
        <v>45</v>
      </c>
      <c r="C62" t="s">
        <v>39</v>
      </c>
      <c r="D62">
        <v>214995</v>
      </c>
      <c r="E62">
        <v>54508</v>
      </c>
      <c r="F62">
        <v>1179</v>
      </c>
      <c r="G62">
        <v>195868</v>
      </c>
      <c r="H62" t="s">
        <v>58</v>
      </c>
      <c r="I62" t="s">
        <v>37</v>
      </c>
      <c r="J62" t="s">
        <v>3</v>
      </c>
      <c r="K62" t="s">
        <v>49</v>
      </c>
      <c r="L62" t="s">
        <v>102</v>
      </c>
      <c r="M62">
        <v>87.1</v>
      </c>
      <c r="N62">
        <v>175671</v>
      </c>
      <c r="O62">
        <f>YEAR(Table1[[#This Row],[Date]])</f>
        <v>2025</v>
      </c>
      <c r="P62" t="str">
        <f>TEXT(Table1[[#This Row],[Date]],"MMM")</f>
        <v>Mar</v>
      </c>
      <c r="Q62">
        <f>Table1[[#This Row],[Revenue]]-Table1[[#This Row],[Expenses]]</f>
        <v>160487</v>
      </c>
    </row>
    <row r="63" spans="1:17" x14ac:dyDescent="0.3">
      <c r="A63" s="2">
        <v>45719</v>
      </c>
      <c r="B63" t="s">
        <v>17</v>
      </c>
      <c r="C63" t="s">
        <v>39</v>
      </c>
      <c r="D63">
        <v>265911</v>
      </c>
      <c r="E63">
        <v>42051</v>
      </c>
      <c r="F63">
        <v>1292</v>
      </c>
      <c r="G63">
        <v>279991</v>
      </c>
      <c r="H63" t="s">
        <v>19</v>
      </c>
      <c r="I63" t="s">
        <v>26</v>
      </c>
      <c r="J63" t="s">
        <v>3</v>
      </c>
      <c r="K63" t="s">
        <v>35</v>
      </c>
      <c r="L63" t="s">
        <v>103</v>
      </c>
      <c r="M63">
        <v>84</v>
      </c>
      <c r="N63">
        <v>220839</v>
      </c>
      <c r="O63">
        <f>YEAR(Table1[[#This Row],[Date]])</f>
        <v>2025</v>
      </c>
      <c r="P63" t="str">
        <f>TEXT(Table1[[#This Row],[Date]],"MMM")</f>
        <v>Mar</v>
      </c>
      <c r="Q63">
        <f>Table1[[#This Row],[Revenue]]-Table1[[#This Row],[Expenses]]</f>
        <v>223860</v>
      </c>
    </row>
    <row r="64" spans="1:17" x14ac:dyDescent="0.3">
      <c r="A64" s="2">
        <v>45720</v>
      </c>
      <c r="B64" t="s">
        <v>28</v>
      </c>
      <c r="C64" t="s">
        <v>41</v>
      </c>
      <c r="D64">
        <v>154150</v>
      </c>
      <c r="E64">
        <v>41294</v>
      </c>
      <c r="F64">
        <v>1282</v>
      </c>
      <c r="G64">
        <v>148712</v>
      </c>
      <c r="H64" t="s">
        <v>54</v>
      </c>
      <c r="I64" t="s">
        <v>20</v>
      </c>
      <c r="J64" t="s">
        <v>29</v>
      </c>
      <c r="K64" t="s">
        <v>71</v>
      </c>
      <c r="L64" t="s">
        <v>104</v>
      </c>
      <c r="M64">
        <v>76.099999999999994</v>
      </c>
      <c r="N64">
        <v>111244</v>
      </c>
      <c r="O64">
        <f>YEAR(Table1[[#This Row],[Date]])</f>
        <v>2025</v>
      </c>
      <c r="P64" t="str">
        <f>TEXT(Table1[[#This Row],[Date]],"MMM")</f>
        <v>Mar</v>
      </c>
      <c r="Q64">
        <f>Table1[[#This Row],[Revenue]]-Table1[[#This Row],[Expenses]]</f>
        <v>112856</v>
      </c>
    </row>
    <row r="65" spans="1:17" x14ac:dyDescent="0.3">
      <c r="A65" s="2">
        <v>45721</v>
      </c>
      <c r="B65" t="s">
        <v>28</v>
      </c>
      <c r="C65" t="s">
        <v>18</v>
      </c>
      <c r="D65">
        <v>180710</v>
      </c>
      <c r="E65">
        <v>32084</v>
      </c>
      <c r="F65">
        <v>895</v>
      </c>
      <c r="G65">
        <v>178468</v>
      </c>
      <c r="H65" t="s">
        <v>25</v>
      </c>
      <c r="I65" t="s">
        <v>20</v>
      </c>
      <c r="J65" t="s">
        <v>51</v>
      </c>
      <c r="K65" t="s">
        <v>49</v>
      </c>
      <c r="L65" t="s">
        <v>69</v>
      </c>
      <c r="M65">
        <v>81</v>
      </c>
      <c r="N65">
        <v>135833</v>
      </c>
      <c r="O65">
        <f>YEAR(Table1[[#This Row],[Date]])</f>
        <v>2025</v>
      </c>
      <c r="P65" t="str">
        <f>TEXT(Table1[[#This Row],[Date]],"MMM")</f>
        <v>Mar</v>
      </c>
      <c r="Q65">
        <f>Table1[[#This Row],[Revenue]]-Table1[[#This Row],[Expenses]]</f>
        <v>148626</v>
      </c>
    </row>
    <row r="66" spans="1:17" x14ac:dyDescent="0.3">
      <c r="A66" s="2">
        <v>45722</v>
      </c>
      <c r="B66" t="s">
        <v>45</v>
      </c>
      <c r="C66" t="s">
        <v>18</v>
      </c>
      <c r="D66">
        <v>191034</v>
      </c>
      <c r="E66">
        <v>115083</v>
      </c>
      <c r="F66">
        <v>1106</v>
      </c>
      <c r="G66">
        <v>199997</v>
      </c>
      <c r="H66" t="s">
        <v>25</v>
      </c>
      <c r="I66" t="s">
        <v>26</v>
      </c>
      <c r="J66" t="s">
        <v>21</v>
      </c>
      <c r="K66" t="s">
        <v>49</v>
      </c>
      <c r="L66" t="s">
        <v>105</v>
      </c>
      <c r="M66">
        <v>91</v>
      </c>
      <c r="N66">
        <v>68944</v>
      </c>
      <c r="O66">
        <f>YEAR(Table1[[#This Row],[Date]])</f>
        <v>2025</v>
      </c>
      <c r="P66" t="str">
        <f>TEXT(Table1[[#This Row],[Date]],"MMM")</f>
        <v>Mar</v>
      </c>
      <c r="Q66">
        <f>Table1[[#This Row],[Revenue]]-Table1[[#This Row],[Expenses]]</f>
        <v>75951</v>
      </c>
    </row>
    <row r="67" spans="1:17" x14ac:dyDescent="0.3">
      <c r="A67" s="2">
        <v>45723</v>
      </c>
      <c r="B67" t="s">
        <v>28</v>
      </c>
      <c r="C67" t="s">
        <v>39</v>
      </c>
      <c r="D67">
        <v>220232</v>
      </c>
      <c r="E67">
        <v>65953</v>
      </c>
      <c r="F67">
        <v>1429</v>
      </c>
      <c r="G67">
        <v>209158</v>
      </c>
      <c r="H67" t="s">
        <v>34</v>
      </c>
      <c r="I67" t="s">
        <v>26</v>
      </c>
      <c r="J67" t="s">
        <v>3</v>
      </c>
      <c r="K67" t="s">
        <v>24</v>
      </c>
      <c r="L67" t="s">
        <v>106</v>
      </c>
      <c r="M67">
        <v>92.3</v>
      </c>
      <c r="N67">
        <v>141760</v>
      </c>
      <c r="O67">
        <f>YEAR(Table1[[#This Row],[Date]])</f>
        <v>2025</v>
      </c>
      <c r="P67" t="str">
        <f>TEXT(Table1[[#This Row],[Date]],"MMM")</f>
        <v>Mar</v>
      </c>
      <c r="Q67">
        <f>Table1[[#This Row],[Revenue]]-Table1[[#This Row],[Expenses]]</f>
        <v>154279</v>
      </c>
    </row>
    <row r="68" spans="1:17" x14ac:dyDescent="0.3">
      <c r="A68" s="2">
        <v>45724</v>
      </c>
      <c r="B68" t="s">
        <v>28</v>
      </c>
      <c r="C68" t="s">
        <v>33</v>
      </c>
      <c r="D68">
        <v>282363</v>
      </c>
      <c r="E68">
        <v>149371</v>
      </c>
      <c r="F68">
        <v>443</v>
      </c>
      <c r="G68">
        <v>285194</v>
      </c>
      <c r="H68" t="s">
        <v>34</v>
      </c>
      <c r="I68" t="s">
        <v>20</v>
      </c>
      <c r="J68" t="s">
        <v>21</v>
      </c>
      <c r="K68" t="s">
        <v>49</v>
      </c>
      <c r="L68" t="s">
        <v>67</v>
      </c>
      <c r="M68">
        <v>98.5</v>
      </c>
      <c r="N68">
        <v>123782</v>
      </c>
      <c r="O68">
        <f>YEAR(Table1[[#This Row],[Date]])</f>
        <v>2025</v>
      </c>
      <c r="P68" t="str">
        <f>TEXT(Table1[[#This Row],[Date]],"MMM")</f>
        <v>Mar</v>
      </c>
      <c r="Q68">
        <f>Table1[[#This Row],[Revenue]]-Table1[[#This Row],[Expenses]]</f>
        <v>132992</v>
      </c>
    </row>
    <row r="69" spans="1:17" x14ac:dyDescent="0.3">
      <c r="A69" s="2">
        <v>45725</v>
      </c>
      <c r="B69" t="s">
        <v>28</v>
      </c>
      <c r="C69" t="s">
        <v>48</v>
      </c>
      <c r="D69">
        <v>62386</v>
      </c>
      <c r="E69">
        <v>38623</v>
      </c>
      <c r="F69">
        <v>1218</v>
      </c>
      <c r="G69">
        <v>67144</v>
      </c>
      <c r="H69" t="s">
        <v>25</v>
      </c>
      <c r="I69" t="s">
        <v>26</v>
      </c>
      <c r="J69" t="s">
        <v>3</v>
      </c>
      <c r="K69" t="s">
        <v>35</v>
      </c>
      <c r="L69" t="s">
        <v>107</v>
      </c>
      <c r="M69">
        <v>81.900000000000006</v>
      </c>
      <c r="N69">
        <v>23336</v>
      </c>
      <c r="O69">
        <f>YEAR(Table1[[#This Row],[Date]])</f>
        <v>2025</v>
      </c>
      <c r="P69" t="str">
        <f>TEXT(Table1[[#This Row],[Date]],"MMM")</f>
        <v>Mar</v>
      </c>
      <c r="Q69">
        <f>Table1[[#This Row],[Revenue]]-Table1[[#This Row],[Expenses]]</f>
        <v>23763</v>
      </c>
    </row>
    <row r="70" spans="1:17" x14ac:dyDescent="0.3">
      <c r="A70" s="2">
        <v>45726</v>
      </c>
      <c r="B70" t="s">
        <v>17</v>
      </c>
      <c r="C70" t="s">
        <v>18</v>
      </c>
      <c r="D70">
        <v>137197</v>
      </c>
      <c r="E70">
        <v>74925</v>
      </c>
      <c r="F70">
        <v>211</v>
      </c>
      <c r="G70">
        <v>123904</v>
      </c>
      <c r="H70" t="s">
        <v>34</v>
      </c>
      <c r="I70" t="s">
        <v>26</v>
      </c>
      <c r="J70" t="s">
        <v>42</v>
      </c>
      <c r="K70" t="s">
        <v>24</v>
      </c>
      <c r="L70" t="s">
        <v>79</v>
      </c>
      <c r="M70">
        <v>96.7</v>
      </c>
      <c r="N70">
        <v>68162</v>
      </c>
      <c r="O70">
        <f>YEAR(Table1[[#This Row],[Date]])</f>
        <v>2025</v>
      </c>
      <c r="P70" t="str">
        <f>TEXT(Table1[[#This Row],[Date]],"MMM")</f>
        <v>Mar</v>
      </c>
      <c r="Q70">
        <f>Table1[[#This Row],[Revenue]]-Table1[[#This Row],[Expenses]]</f>
        <v>62272</v>
      </c>
    </row>
    <row r="71" spans="1:17" x14ac:dyDescent="0.3">
      <c r="A71" s="2">
        <v>45727</v>
      </c>
      <c r="B71" t="s">
        <v>32</v>
      </c>
      <c r="C71" t="s">
        <v>39</v>
      </c>
      <c r="D71">
        <v>77447</v>
      </c>
      <c r="E71">
        <v>49752</v>
      </c>
      <c r="F71">
        <v>519</v>
      </c>
      <c r="G71">
        <v>83839</v>
      </c>
      <c r="H71" t="s">
        <v>54</v>
      </c>
      <c r="I71" t="s">
        <v>37</v>
      </c>
      <c r="J71" t="s">
        <v>29</v>
      </c>
      <c r="K71" t="s">
        <v>22</v>
      </c>
      <c r="L71" t="s">
        <v>108</v>
      </c>
      <c r="M71">
        <v>91.7</v>
      </c>
      <c r="N71">
        <v>27694</v>
      </c>
      <c r="O71">
        <f>YEAR(Table1[[#This Row],[Date]])</f>
        <v>2025</v>
      </c>
      <c r="P71" t="str">
        <f>TEXT(Table1[[#This Row],[Date]],"MMM")</f>
        <v>Mar</v>
      </c>
      <c r="Q71">
        <f>Table1[[#This Row],[Revenue]]-Table1[[#This Row],[Expenses]]</f>
        <v>27695</v>
      </c>
    </row>
    <row r="72" spans="1:17" x14ac:dyDescent="0.3">
      <c r="A72" s="2">
        <v>45728</v>
      </c>
      <c r="B72" t="s">
        <v>17</v>
      </c>
      <c r="C72" t="s">
        <v>18</v>
      </c>
      <c r="D72">
        <v>123522</v>
      </c>
      <c r="E72">
        <v>56458</v>
      </c>
      <c r="F72">
        <v>581</v>
      </c>
      <c r="G72">
        <v>128350</v>
      </c>
      <c r="H72" t="s">
        <v>34</v>
      </c>
      <c r="I72" t="s">
        <v>20</v>
      </c>
      <c r="J72" t="s">
        <v>21</v>
      </c>
      <c r="K72" t="s">
        <v>22</v>
      </c>
      <c r="L72" t="s">
        <v>67</v>
      </c>
      <c r="M72">
        <v>97.2</v>
      </c>
      <c r="N72">
        <v>64065</v>
      </c>
      <c r="O72">
        <f>YEAR(Table1[[#This Row],[Date]])</f>
        <v>2025</v>
      </c>
      <c r="P72" t="str">
        <f>TEXT(Table1[[#This Row],[Date]],"MMM")</f>
        <v>Mar</v>
      </c>
      <c r="Q72">
        <f>Table1[[#This Row],[Revenue]]-Table1[[#This Row],[Expenses]]</f>
        <v>67064</v>
      </c>
    </row>
    <row r="73" spans="1:17" x14ac:dyDescent="0.3">
      <c r="A73" s="2">
        <v>45729</v>
      </c>
      <c r="B73" t="s">
        <v>28</v>
      </c>
      <c r="C73" t="s">
        <v>48</v>
      </c>
      <c r="D73">
        <v>259149</v>
      </c>
      <c r="E73">
        <v>111053</v>
      </c>
      <c r="F73">
        <v>1347</v>
      </c>
      <c r="G73">
        <v>274485</v>
      </c>
      <c r="H73" t="s">
        <v>25</v>
      </c>
      <c r="I73" t="s">
        <v>37</v>
      </c>
      <c r="J73" t="s">
        <v>51</v>
      </c>
      <c r="K73" t="s">
        <v>49</v>
      </c>
      <c r="L73" t="s">
        <v>80</v>
      </c>
      <c r="M73">
        <v>75.2</v>
      </c>
      <c r="N73">
        <v>140719</v>
      </c>
      <c r="O73">
        <f>YEAR(Table1[[#This Row],[Date]])</f>
        <v>2025</v>
      </c>
      <c r="P73" t="str">
        <f>TEXT(Table1[[#This Row],[Date]],"MMM")</f>
        <v>Mar</v>
      </c>
      <c r="Q73">
        <f>Table1[[#This Row],[Revenue]]-Table1[[#This Row],[Expenses]]</f>
        <v>148096</v>
      </c>
    </row>
    <row r="74" spans="1:17" x14ac:dyDescent="0.3">
      <c r="A74" s="2">
        <v>45730</v>
      </c>
      <c r="B74" t="s">
        <v>28</v>
      </c>
      <c r="C74" t="s">
        <v>39</v>
      </c>
      <c r="D74">
        <v>71533</v>
      </c>
      <c r="E74">
        <v>51455</v>
      </c>
      <c r="F74">
        <v>762</v>
      </c>
      <c r="G74">
        <v>68522</v>
      </c>
      <c r="H74" t="s">
        <v>19</v>
      </c>
      <c r="I74" t="s">
        <v>20</v>
      </c>
      <c r="J74" t="s">
        <v>21</v>
      </c>
      <c r="K74" t="s">
        <v>22</v>
      </c>
      <c r="L74" t="s">
        <v>79</v>
      </c>
      <c r="M74">
        <v>84.5</v>
      </c>
      <c r="N74">
        <v>19983</v>
      </c>
      <c r="O74">
        <f>YEAR(Table1[[#This Row],[Date]])</f>
        <v>2025</v>
      </c>
      <c r="P74" t="str">
        <f>TEXT(Table1[[#This Row],[Date]],"MMM")</f>
        <v>Mar</v>
      </c>
      <c r="Q74">
        <f>Table1[[#This Row],[Revenue]]-Table1[[#This Row],[Expenses]]</f>
        <v>20078</v>
      </c>
    </row>
    <row r="75" spans="1:17" x14ac:dyDescent="0.3">
      <c r="A75" s="2">
        <v>45731</v>
      </c>
      <c r="B75" t="s">
        <v>32</v>
      </c>
      <c r="C75" t="s">
        <v>41</v>
      </c>
      <c r="D75">
        <v>87496</v>
      </c>
      <c r="E75">
        <v>60548</v>
      </c>
      <c r="F75">
        <v>298</v>
      </c>
      <c r="G75">
        <v>91829</v>
      </c>
      <c r="H75" t="s">
        <v>19</v>
      </c>
      <c r="I75" t="s">
        <v>26</v>
      </c>
      <c r="J75" t="s">
        <v>42</v>
      </c>
      <c r="K75" t="s">
        <v>43</v>
      </c>
      <c r="L75" t="s">
        <v>109</v>
      </c>
      <c r="M75">
        <v>77</v>
      </c>
      <c r="N75">
        <v>26875</v>
      </c>
      <c r="O75">
        <f>YEAR(Table1[[#This Row],[Date]])</f>
        <v>2025</v>
      </c>
      <c r="P75" t="str">
        <f>TEXT(Table1[[#This Row],[Date]],"MMM")</f>
        <v>Mar</v>
      </c>
      <c r="Q75">
        <f>Table1[[#This Row],[Revenue]]-Table1[[#This Row],[Expenses]]</f>
        <v>26948</v>
      </c>
    </row>
    <row r="76" spans="1:17" x14ac:dyDescent="0.3">
      <c r="A76" s="2">
        <v>45732</v>
      </c>
      <c r="B76" t="s">
        <v>32</v>
      </c>
      <c r="C76" t="s">
        <v>48</v>
      </c>
      <c r="D76">
        <v>274558</v>
      </c>
      <c r="E76">
        <v>172823</v>
      </c>
      <c r="F76">
        <v>1058</v>
      </c>
      <c r="G76">
        <v>269843</v>
      </c>
      <c r="H76" t="s">
        <v>19</v>
      </c>
      <c r="I76" t="s">
        <v>20</v>
      </c>
      <c r="J76" t="s">
        <v>3</v>
      </c>
      <c r="K76" t="s">
        <v>30</v>
      </c>
      <c r="L76" t="s">
        <v>110</v>
      </c>
      <c r="M76">
        <v>91.3</v>
      </c>
      <c r="N76">
        <v>92989</v>
      </c>
      <c r="O76">
        <f>YEAR(Table1[[#This Row],[Date]])</f>
        <v>2025</v>
      </c>
      <c r="P76" t="str">
        <f>TEXT(Table1[[#This Row],[Date]],"MMM")</f>
        <v>Mar</v>
      </c>
      <c r="Q76">
        <f>Table1[[#This Row],[Revenue]]-Table1[[#This Row],[Expenses]]</f>
        <v>101735</v>
      </c>
    </row>
    <row r="77" spans="1:17" x14ac:dyDescent="0.3">
      <c r="A77" s="2">
        <v>45733</v>
      </c>
      <c r="B77" t="s">
        <v>45</v>
      </c>
      <c r="C77" t="s">
        <v>18</v>
      </c>
      <c r="D77">
        <v>271020</v>
      </c>
      <c r="E77">
        <v>116937</v>
      </c>
      <c r="F77">
        <v>491</v>
      </c>
      <c r="G77">
        <v>276686</v>
      </c>
      <c r="H77" t="s">
        <v>34</v>
      </c>
      <c r="I77" t="s">
        <v>26</v>
      </c>
      <c r="J77" t="s">
        <v>3</v>
      </c>
      <c r="K77" t="s">
        <v>35</v>
      </c>
      <c r="L77" t="s">
        <v>111</v>
      </c>
      <c r="M77">
        <v>84.4</v>
      </c>
      <c r="N77">
        <v>161039</v>
      </c>
      <c r="O77">
        <f>YEAR(Table1[[#This Row],[Date]])</f>
        <v>2025</v>
      </c>
      <c r="P77" t="str">
        <f>TEXT(Table1[[#This Row],[Date]],"MMM")</f>
        <v>Mar</v>
      </c>
      <c r="Q77">
        <f>Table1[[#This Row],[Revenue]]-Table1[[#This Row],[Expenses]]</f>
        <v>154083</v>
      </c>
    </row>
    <row r="78" spans="1:17" x14ac:dyDescent="0.3">
      <c r="A78" s="2">
        <v>45734</v>
      </c>
      <c r="B78" t="s">
        <v>45</v>
      </c>
      <c r="C78" t="s">
        <v>39</v>
      </c>
      <c r="D78">
        <v>157614</v>
      </c>
      <c r="E78">
        <v>66496</v>
      </c>
      <c r="F78">
        <v>761</v>
      </c>
      <c r="G78">
        <v>166982</v>
      </c>
      <c r="H78" t="s">
        <v>34</v>
      </c>
      <c r="I78" t="s">
        <v>26</v>
      </c>
      <c r="J78" t="s">
        <v>29</v>
      </c>
      <c r="K78" t="s">
        <v>49</v>
      </c>
      <c r="L78" t="s">
        <v>50</v>
      </c>
      <c r="M78">
        <v>97</v>
      </c>
      <c r="N78">
        <v>83815</v>
      </c>
      <c r="O78">
        <f>YEAR(Table1[[#This Row],[Date]])</f>
        <v>2025</v>
      </c>
      <c r="P78" t="str">
        <f>TEXT(Table1[[#This Row],[Date]],"MMM")</f>
        <v>Mar</v>
      </c>
      <c r="Q78">
        <f>Table1[[#This Row],[Revenue]]-Table1[[#This Row],[Expenses]]</f>
        <v>91118</v>
      </c>
    </row>
    <row r="79" spans="1:17" x14ac:dyDescent="0.3">
      <c r="A79" s="2">
        <v>45735</v>
      </c>
      <c r="B79" t="s">
        <v>45</v>
      </c>
      <c r="C79" t="s">
        <v>18</v>
      </c>
      <c r="D79">
        <v>217918</v>
      </c>
      <c r="E79">
        <v>101512</v>
      </c>
      <c r="F79">
        <v>508</v>
      </c>
      <c r="G79">
        <v>205072</v>
      </c>
      <c r="H79" t="s">
        <v>54</v>
      </c>
      <c r="I79" t="s">
        <v>20</v>
      </c>
      <c r="J79" t="s">
        <v>42</v>
      </c>
      <c r="K79" t="s">
        <v>24</v>
      </c>
      <c r="L79" t="s">
        <v>112</v>
      </c>
      <c r="M79">
        <v>81.900000000000006</v>
      </c>
      <c r="N79">
        <v>126987</v>
      </c>
      <c r="O79">
        <f>YEAR(Table1[[#This Row],[Date]])</f>
        <v>2025</v>
      </c>
      <c r="P79" t="str">
        <f>TEXT(Table1[[#This Row],[Date]],"MMM")</f>
        <v>Mar</v>
      </c>
      <c r="Q79">
        <f>Table1[[#This Row],[Revenue]]-Table1[[#This Row],[Expenses]]</f>
        <v>116406</v>
      </c>
    </row>
    <row r="80" spans="1:17" x14ac:dyDescent="0.3">
      <c r="A80" s="2">
        <v>45736</v>
      </c>
      <c r="B80" t="s">
        <v>32</v>
      </c>
      <c r="C80" t="s">
        <v>18</v>
      </c>
      <c r="D80">
        <v>198730</v>
      </c>
      <c r="E80">
        <v>123457</v>
      </c>
      <c r="F80">
        <v>369</v>
      </c>
      <c r="G80">
        <v>189464</v>
      </c>
      <c r="H80" t="s">
        <v>19</v>
      </c>
      <c r="I80" t="s">
        <v>37</v>
      </c>
      <c r="J80" t="s">
        <v>42</v>
      </c>
      <c r="K80" t="s">
        <v>35</v>
      </c>
      <c r="L80" t="s">
        <v>113</v>
      </c>
      <c r="M80">
        <v>87.3</v>
      </c>
      <c r="N80">
        <v>73794</v>
      </c>
      <c r="O80">
        <f>YEAR(Table1[[#This Row],[Date]])</f>
        <v>2025</v>
      </c>
      <c r="P80" t="str">
        <f>TEXT(Table1[[#This Row],[Date]],"MMM")</f>
        <v>Mar</v>
      </c>
      <c r="Q80">
        <f>Table1[[#This Row],[Revenue]]-Table1[[#This Row],[Expenses]]</f>
        <v>75273</v>
      </c>
    </row>
    <row r="81" spans="1:17" x14ac:dyDescent="0.3">
      <c r="A81" s="2">
        <v>45737</v>
      </c>
      <c r="B81" t="s">
        <v>45</v>
      </c>
      <c r="C81" t="s">
        <v>18</v>
      </c>
      <c r="D81">
        <v>64543</v>
      </c>
      <c r="E81">
        <v>46363</v>
      </c>
      <c r="F81">
        <v>324</v>
      </c>
      <c r="G81">
        <v>66863</v>
      </c>
      <c r="H81" t="s">
        <v>58</v>
      </c>
      <c r="I81" t="s">
        <v>20</v>
      </c>
      <c r="J81" t="s">
        <v>51</v>
      </c>
      <c r="K81" t="s">
        <v>24</v>
      </c>
      <c r="L81" t="s">
        <v>97</v>
      </c>
      <c r="M81">
        <v>96</v>
      </c>
      <c r="N81">
        <v>18494</v>
      </c>
      <c r="O81">
        <f>YEAR(Table1[[#This Row],[Date]])</f>
        <v>2025</v>
      </c>
      <c r="P81" t="str">
        <f>TEXT(Table1[[#This Row],[Date]],"MMM")</f>
        <v>Mar</v>
      </c>
      <c r="Q81">
        <f>Table1[[#This Row],[Revenue]]-Table1[[#This Row],[Expenses]]</f>
        <v>18180</v>
      </c>
    </row>
    <row r="82" spans="1:17" x14ac:dyDescent="0.3">
      <c r="A82" s="2">
        <v>45738</v>
      </c>
      <c r="B82" t="s">
        <v>28</v>
      </c>
      <c r="C82" t="s">
        <v>33</v>
      </c>
      <c r="D82">
        <v>216629</v>
      </c>
      <c r="E82">
        <v>50526</v>
      </c>
      <c r="F82">
        <v>1479</v>
      </c>
      <c r="G82">
        <v>223654</v>
      </c>
      <c r="H82" t="s">
        <v>54</v>
      </c>
      <c r="I82" t="s">
        <v>26</v>
      </c>
      <c r="J82" t="s">
        <v>29</v>
      </c>
      <c r="K82" t="s">
        <v>52</v>
      </c>
      <c r="L82" t="s">
        <v>114</v>
      </c>
      <c r="M82">
        <v>79</v>
      </c>
      <c r="N82">
        <v>161531</v>
      </c>
      <c r="O82">
        <f>YEAR(Table1[[#This Row],[Date]])</f>
        <v>2025</v>
      </c>
      <c r="P82" t="str">
        <f>TEXT(Table1[[#This Row],[Date]],"MMM")</f>
        <v>Mar</v>
      </c>
      <c r="Q82">
        <f>Table1[[#This Row],[Revenue]]-Table1[[#This Row],[Expenses]]</f>
        <v>166103</v>
      </c>
    </row>
    <row r="83" spans="1:17" x14ac:dyDescent="0.3">
      <c r="A83" s="2">
        <v>45739</v>
      </c>
      <c r="B83" t="s">
        <v>45</v>
      </c>
      <c r="C83" t="s">
        <v>33</v>
      </c>
      <c r="D83">
        <v>56040</v>
      </c>
      <c r="E83">
        <v>33852</v>
      </c>
      <c r="F83">
        <v>380</v>
      </c>
      <c r="G83">
        <v>52113</v>
      </c>
      <c r="H83" t="s">
        <v>25</v>
      </c>
      <c r="I83" t="s">
        <v>37</v>
      </c>
      <c r="J83" t="s">
        <v>29</v>
      </c>
      <c r="K83" t="s">
        <v>30</v>
      </c>
      <c r="L83" t="s">
        <v>88</v>
      </c>
      <c r="M83">
        <v>84.9</v>
      </c>
      <c r="N83">
        <v>23112</v>
      </c>
      <c r="O83">
        <f>YEAR(Table1[[#This Row],[Date]])</f>
        <v>2025</v>
      </c>
      <c r="P83" t="str">
        <f>TEXT(Table1[[#This Row],[Date]],"MMM")</f>
        <v>Mar</v>
      </c>
      <c r="Q83">
        <f>Table1[[#This Row],[Revenue]]-Table1[[#This Row],[Expenses]]</f>
        <v>22188</v>
      </c>
    </row>
    <row r="84" spans="1:17" x14ac:dyDescent="0.3">
      <c r="A84" s="2">
        <v>45740</v>
      </c>
      <c r="B84" t="s">
        <v>17</v>
      </c>
      <c r="C84" t="s">
        <v>18</v>
      </c>
      <c r="D84">
        <v>235303</v>
      </c>
      <c r="E84">
        <v>95357</v>
      </c>
      <c r="F84">
        <v>992</v>
      </c>
      <c r="G84">
        <v>228584</v>
      </c>
      <c r="H84" t="s">
        <v>34</v>
      </c>
      <c r="I84" t="s">
        <v>20</v>
      </c>
      <c r="J84" t="s">
        <v>29</v>
      </c>
      <c r="K84" t="s">
        <v>35</v>
      </c>
      <c r="L84" t="s">
        <v>115</v>
      </c>
      <c r="M84">
        <v>91.8</v>
      </c>
      <c r="N84">
        <v>127365</v>
      </c>
      <c r="O84">
        <f>YEAR(Table1[[#This Row],[Date]])</f>
        <v>2025</v>
      </c>
      <c r="P84" t="str">
        <f>TEXT(Table1[[#This Row],[Date]],"MMM")</f>
        <v>Mar</v>
      </c>
      <c r="Q84">
        <f>Table1[[#This Row],[Revenue]]-Table1[[#This Row],[Expenses]]</f>
        <v>139946</v>
      </c>
    </row>
    <row r="85" spans="1:17" x14ac:dyDescent="0.3">
      <c r="A85" s="2">
        <v>45741</v>
      </c>
      <c r="B85" t="s">
        <v>17</v>
      </c>
      <c r="C85" t="s">
        <v>18</v>
      </c>
      <c r="D85">
        <v>168715</v>
      </c>
      <c r="E85">
        <v>70763</v>
      </c>
      <c r="F85">
        <v>821</v>
      </c>
      <c r="G85">
        <v>160722</v>
      </c>
      <c r="H85" t="s">
        <v>19</v>
      </c>
      <c r="I85" t="s">
        <v>26</v>
      </c>
      <c r="J85" t="s">
        <v>42</v>
      </c>
      <c r="K85" t="s">
        <v>49</v>
      </c>
      <c r="L85" t="s">
        <v>116</v>
      </c>
      <c r="M85">
        <v>81.3</v>
      </c>
      <c r="N85">
        <v>92442</v>
      </c>
      <c r="O85">
        <f>YEAR(Table1[[#This Row],[Date]])</f>
        <v>2025</v>
      </c>
      <c r="P85" t="str">
        <f>TEXT(Table1[[#This Row],[Date]],"MMM")</f>
        <v>Mar</v>
      </c>
      <c r="Q85">
        <f>Table1[[#This Row],[Revenue]]-Table1[[#This Row],[Expenses]]</f>
        <v>97952</v>
      </c>
    </row>
    <row r="86" spans="1:17" x14ac:dyDescent="0.3">
      <c r="A86" s="2">
        <v>45742</v>
      </c>
      <c r="B86" t="s">
        <v>28</v>
      </c>
      <c r="C86" t="s">
        <v>48</v>
      </c>
      <c r="D86">
        <v>149824</v>
      </c>
      <c r="E86">
        <v>106247</v>
      </c>
      <c r="F86">
        <v>936</v>
      </c>
      <c r="G86">
        <v>145577</v>
      </c>
      <c r="H86" t="s">
        <v>19</v>
      </c>
      <c r="I86" t="s">
        <v>26</v>
      </c>
      <c r="J86" t="s">
        <v>51</v>
      </c>
      <c r="K86" t="s">
        <v>52</v>
      </c>
      <c r="L86" t="s">
        <v>117</v>
      </c>
      <c r="M86">
        <v>79.8</v>
      </c>
      <c r="N86">
        <v>47302</v>
      </c>
      <c r="O86">
        <f>YEAR(Table1[[#This Row],[Date]])</f>
        <v>2025</v>
      </c>
      <c r="P86" t="str">
        <f>TEXT(Table1[[#This Row],[Date]],"MMM")</f>
        <v>Mar</v>
      </c>
      <c r="Q86">
        <f>Table1[[#This Row],[Revenue]]-Table1[[#This Row],[Expenses]]</f>
        <v>43577</v>
      </c>
    </row>
    <row r="87" spans="1:17" x14ac:dyDescent="0.3">
      <c r="A87" s="2">
        <v>45743</v>
      </c>
      <c r="B87" t="s">
        <v>17</v>
      </c>
      <c r="C87" t="s">
        <v>41</v>
      </c>
      <c r="D87">
        <v>279340</v>
      </c>
      <c r="E87">
        <v>53085</v>
      </c>
      <c r="F87">
        <v>657</v>
      </c>
      <c r="G87">
        <v>299761</v>
      </c>
      <c r="H87" t="s">
        <v>54</v>
      </c>
      <c r="I87" t="s">
        <v>26</v>
      </c>
      <c r="J87" t="s">
        <v>42</v>
      </c>
      <c r="K87" t="s">
        <v>52</v>
      </c>
      <c r="L87" t="s">
        <v>118</v>
      </c>
      <c r="M87">
        <v>80.5</v>
      </c>
      <c r="N87">
        <v>242015</v>
      </c>
      <c r="O87">
        <f>YEAR(Table1[[#This Row],[Date]])</f>
        <v>2025</v>
      </c>
      <c r="P87" t="str">
        <f>TEXT(Table1[[#This Row],[Date]],"MMM")</f>
        <v>Mar</v>
      </c>
      <c r="Q87">
        <f>Table1[[#This Row],[Revenue]]-Table1[[#This Row],[Expenses]]</f>
        <v>226255</v>
      </c>
    </row>
    <row r="88" spans="1:17" x14ac:dyDescent="0.3">
      <c r="A88" s="2">
        <v>45744</v>
      </c>
      <c r="B88" t="s">
        <v>45</v>
      </c>
      <c r="C88" t="s">
        <v>33</v>
      </c>
      <c r="D88">
        <v>70946</v>
      </c>
      <c r="E88">
        <v>32642</v>
      </c>
      <c r="F88">
        <v>1000</v>
      </c>
      <c r="G88">
        <v>63955</v>
      </c>
      <c r="H88" t="s">
        <v>54</v>
      </c>
      <c r="I88" t="s">
        <v>26</v>
      </c>
      <c r="J88" t="s">
        <v>21</v>
      </c>
      <c r="K88" t="s">
        <v>30</v>
      </c>
      <c r="L88" t="s">
        <v>119</v>
      </c>
      <c r="M88">
        <v>91.6</v>
      </c>
      <c r="N88">
        <v>35294</v>
      </c>
      <c r="O88">
        <f>YEAR(Table1[[#This Row],[Date]])</f>
        <v>2025</v>
      </c>
      <c r="P88" t="str">
        <f>TEXT(Table1[[#This Row],[Date]],"MMM")</f>
        <v>Mar</v>
      </c>
      <c r="Q88">
        <f>Table1[[#This Row],[Revenue]]-Table1[[#This Row],[Expenses]]</f>
        <v>38304</v>
      </c>
    </row>
    <row r="89" spans="1:17" x14ac:dyDescent="0.3">
      <c r="A89" s="2">
        <v>45745</v>
      </c>
      <c r="B89" t="s">
        <v>45</v>
      </c>
      <c r="C89" t="s">
        <v>39</v>
      </c>
      <c r="D89">
        <v>125953</v>
      </c>
      <c r="E89">
        <v>43963</v>
      </c>
      <c r="F89">
        <v>645</v>
      </c>
      <c r="G89">
        <v>118437</v>
      </c>
      <c r="H89" t="s">
        <v>19</v>
      </c>
      <c r="I89" t="s">
        <v>20</v>
      </c>
      <c r="J89" t="s">
        <v>21</v>
      </c>
      <c r="K89" t="s">
        <v>49</v>
      </c>
      <c r="L89" t="s">
        <v>91</v>
      </c>
      <c r="M89">
        <v>93.4</v>
      </c>
      <c r="N89">
        <v>78662</v>
      </c>
      <c r="O89">
        <f>YEAR(Table1[[#This Row],[Date]])</f>
        <v>2025</v>
      </c>
      <c r="P89" t="str">
        <f>TEXT(Table1[[#This Row],[Date]],"MMM")</f>
        <v>Mar</v>
      </c>
      <c r="Q89">
        <f>Table1[[#This Row],[Revenue]]-Table1[[#This Row],[Expenses]]</f>
        <v>81990</v>
      </c>
    </row>
    <row r="90" spans="1:17" x14ac:dyDescent="0.3">
      <c r="A90" s="2">
        <v>45746</v>
      </c>
      <c r="B90" t="s">
        <v>45</v>
      </c>
      <c r="C90" t="s">
        <v>39</v>
      </c>
      <c r="D90">
        <v>177439</v>
      </c>
      <c r="E90">
        <v>93246</v>
      </c>
      <c r="F90">
        <v>1268</v>
      </c>
      <c r="G90">
        <v>168830</v>
      </c>
      <c r="H90" t="s">
        <v>34</v>
      </c>
      <c r="I90" t="s">
        <v>26</v>
      </c>
      <c r="J90" t="s">
        <v>42</v>
      </c>
      <c r="K90" t="s">
        <v>49</v>
      </c>
      <c r="L90" t="s">
        <v>97</v>
      </c>
      <c r="M90">
        <v>79.599999999999994</v>
      </c>
      <c r="N90">
        <v>76346</v>
      </c>
      <c r="O90">
        <f>YEAR(Table1[[#This Row],[Date]])</f>
        <v>2025</v>
      </c>
      <c r="P90" t="str">
        <f>TEXT(Table1[[#This Row],[Date]],"MMM")</f>
        <v>Mar</v>
      </c>
      <c r="Q90">
        <f>Table1[[#This Row],[Revenue]]-Table1[[#This Row],[Expenses]]</f>
        <v>84193</v>
      </c>
    </row>
    <row r="91" spans="1:17" x14ac:dyDescent="0.3">
      <c r="A91" s="2">
        <v>45747</v>
      </c>
      <c r="B91" t="s">
        <v>28</v>
      </c>
      <c r="C91" t="s">
        <v>18</v>
      </c>
      <c r="D91">
        <v>133353</v>
      </c>
      <c r="E91">
        <v>106325</v>
      </c>
      <c r="F91">
        <v>893</v>
      </c>
      <c r="G91">
        <v>146535</v>
      </c>
      <c r="H91" t="s">
        <v>34</v>
      </c>
      <c r="I91" t="s">
        <v>37</v>
      </c>
      <c r="J91" t="s">
        <v>3</v>
      </c>
      <c r="K91" t="s">
        <v>24</v>
      </c>
      <c r="L91" t="s">
        <v>120</v>
      </c>
      <c r="M91">
        <v>91.5</v>
      </c>
      <c r="N91">
        <v>28386</v>
      </c>
      <c r="O91">
        <f>YEAR(Table1[[#This Row],[Date]])</f>
        <v>2025</v>
      </c>
      <c r="P91" t="str">
        <f>TEXT(Table1[[#This Row],[Date]],"MMM")</f>
        <v>Mar</v>
      </c>
      <c r="Q91">
        <f>Table1[[#This Row],[Revenue]]-Table1[[#This Row],[Expenses]]</f>
        <v>27028</v>
      </c>
    </row>
    <row r="92" spans="1:17" x14ac:dyDescent="0.3">
      <c r="A92" s="2">
        <v>45748</v>
      </c>
      <c r="B92" t="s">
        <v>17</v>
      </c>
      <c r="C92" t="s">
        <v>18</v>
      </c>
      <c r="D92">
        <v>105074</v>
      </c>
      <c r="E92">
        <v>45315</v>
      </c>
      <c r="F92">
        <v>720</v>
      </c>
      <c r="G92">
        <v>103531</v>
      </c>
      <c r="H92" t="s">
        <v>19</v>
      </c>
      <c r="I92" t="s">
        <v>26</v>
      </c>
      <c r="J92" t="s">
        <v>51</v>
      </c>
      <c r="K92" t="s">
        <v>49</v>
      </c>
      <c r="L92" t="s">
        <v>121</v>
      </c>
      <c r="M92">
        <v>77.400000000000006</v>
      </c>
      <c r="N92">
        <v>53920</v>
      </c>
      <c r="O92">
        <f>YEAR(Table1[[#This Row],[Date]])</f>
        <v>2025</v>
      </c>
      <c r="P92" t="str">
        <f>TEXT(Table1[[#This Row],[Date]],"MMM")</f>
        <v>Apr</v>
      </c>
      <c r="Q92">
        <f>Table1[[#This Row],[Revenue]]-Table1[[#This Row],[Expenses]]</f>
        <v>59759</v>
      </c>
    </row>
    <row r="93" spans="1:17" x14ac:dyDescent="0.3">
      <c r="A93" s="2">
        <v>45749</v>
      </c>
      <c r="B93" t="s">
        <v>45</v>
      </c>
      <c r="C93" t="s">
        <v>41</v>
      </c>
      <c r="D93">
        <v>190785</v>
      </c>
      <c r="E93">
        <v>108587</v>
      </c>
      <c r="F93">
        <v>1478</v>
      </c>
      <c r="G93">
        <v>180807</v>
      </c>
      <c r="H93" t="s">
        <v>34</v>
      </c>
      <c r="I93" t="s">
        <v>37</v>
      </c>
      <c r="J93" t="s">
        <v>29</v>
      </c>
      <c r="K93" t="s">
        <v>55</v>
      </c>
      <c r="L93" t="s">
        <v>122</v>
      </c>
      <c r="M93">
        <v>96.1</v>
      </c>
      <c r="N93">
        <v>76952</v>
      </c>
      <c r="O93">
        <f>YEAR(Table1[[#This Row],[Date]])</f>
        <v>2025</v>
      </c>
      <c r="P93" t="str">
        <f>TEXT(Table1[[#This Row],[Date]],"MMM")</f>
        <v>Apr</v>
      </c>
      <c r="Q93">
        <f>Table1[[#This Row],[Revenue]]-Table1[[#This Row],[Expenses]]</f>
        <v>82198</v>
      </c>
    </row>
    <row r="94" spans="1:17" x14ac:dyDescent="0.3">
      <c r="A94" s="2">
        <v>45750</v>
      </c>
      <c r="B94" t="s">
        <v>17</v>
      </c>
      <c r="C94" t="s">
        <v>48</v>
      </c>
      <c r="D94">
        <v>106765</v>
      </c>
      <c r="E94">
        <v>78930</v>
      </c>
      <c r="F94">
        <v>1077</v>
      </c>
      <c r="G94">
        <v>101586</v>
      </c>
      <c r="H94" t="s">
        <v>54</v>
      </c>
      <c r="I94" t="s">
        <v>37</v>
      </c>
      <c r="J94" t="s">
        <v>51</v>
      </c>
      <c r="K94" t="s">
        <v>35</v>
      </c>
      <c r="L94" t="s">
        <v>123</v>
      </c>
      <c r="M94">
        <v>91.9</v>
      </c>
      <c r="N94">
        <v>29488</v>
      </c>
      <c r="O94">
        <f>YEAR(Table1[[#This Row],[Date]])</f>
        <v>2025</v>
      </c>
      <c r="P94" t="str">
        <f>TEXT(Table1[[#This Row],[Date]],"MMM")</f>
        <v>Apr</v>
      </c>
      <c r="Q94">
        <f>Table1[[#This Row],[Revenue]]-Table1[[#This Row],[Expenses]]</f>
        <v>27835</v>
      </c>
    </row>
    <row r="95" spans="1:17" x14ac:dyDescent="0.3">
      <c r="A95" s="2">
        <v>45751</v>
      </c>
      <c r="B95" t="s">
        <v>28</v>
      </c>
      <c r="C95" t="s">
        <v>39</v>
      </c>
      <c r="D95">
        <v>140081</v>
      </c>
      <c r="E95">
        <v>32784</v>
      </c>
      <c r="F95">
        <v>1244</v>
      </c>
      <c r="G95">
        <v>128925</v>
      </c>
      <c r="H95" t="s">
        <v>34</v>
      </c>
      <c r="I95" t="s">
        <v>20</v>
      </c>
      <c r="J95" t="s">
        <v>42</v>
      </c>
      <c r="K95" t="s">
        <v>71</v>
      </c>
      <c r="L95" t="s">
        <v>124</v>
      </c>
      <c r="M95">
        <v>86.1</v>
      </c>
      <c r="N95">
        <v>98339</v>
      </c>
      <c r="O95">
        <f>YEAR(Table1[[#This Row],[Date]])</f>
        <v>2025</v>
      </c>
      <c r="P95" t="str">
        <f>TEXT(Table1[[#This Row],[Date]],"MMM")</f>
        <v>Apr</v>
      </c>
      <c r="Q95">
        <f>Table1[[#This Row],[Revenue]]-Table1[[#This Row],[Expenses]]</f>
        <v>107297</v>
      </c>
    </row>
    <row r="96" spans="1:17" x14ac:dyDescent="0.3">
      <c r="A96" s="2">
        <v>45752</v>
      </c>
      <c r="B96" t="s">
        <v>45</v>
      </c>
      <c r="C96" t="s">
        <v>18</v>
      </c>
      <c r="D96">
        <v>71527</v>
      </c>
      <c r="E96">
        <v>47497</v>
      </c>
      <c r="F96">
        <v>1361</v>
      </c>
      <c r="G96">
        <v>73295</v>
      </c>
      <c r="H96" t="s">
        <v>54</v>
      </c>
      <c r="I96" t="s">
        <v>37</v>
      </c>
      <c r="J96" t="s">
        <v>42</v>
      </c>
      <c r="K96" t="s">
        <v>49</v>
      </c>
      <c r="L96" t="s">
        <v>125</v>
      </c>
      <c r="M96">
        <v>94.9</v>
      </c>
      <c r="N96">
        <v>22011</v>
      </c>
      <c r="O96">
        <f>YEAR(Table1[[#This Row],[Date]])</f>
        <v>2025</v>
      </c>
      <c r="P96" t="str">
        <f>TEXT(Table1[[#This Row],[Date]],"MMM")</f>
        <v>Apr</v>
      </c>
      <c r="Q96">
        <f>Table1[[#This Row],[Revenue]]-Table1[[#This Row],[Expenses]]</f>
        <v>24030</v>
      </c>
    </row>
    <row r="97" spans="1:17" x14ac:dyDescent="0.3">
      <c r="A97" s="2">
        <v>45753</v>
      </c>
      <c r="B97" t="s">
        <v>28</v>
      </c>
      <c r="C97" t="s">
        <v>24</v>
      </c>
      <c r="D97">
        <v>204737</v>
      </c>
      <c r="E97">
        <v>37262</v>
      </c>
      <c r="F97">
        <v>938</v>
      </c>
      <c r="G97">
        <v>194901</v>
      </c>
      <c r="H97" t="s">
        <v>25</v>
      </c>
      <c r="I97" t="s">
        <v>20</v>
      </c>
      <c r="J97" t="s">
        <v>42</v>
      </c>
      <c r="K97" t="s">
        <v>46</v>
      </c>
      <c r="L97" t="s">
        <v>126</v>
      </c>
      <c r="M97">
        <v>76.900000000000006</v>
      </c>
      <c r="N97">
        <v>156023</v>
      </c>
      <c r="O97">
        <f>YEAR(Table1[[#This Row],[Date]])</f>
        <v>2025</v>
      </c>
      <c r="P97" t="str">
        <f>TEXT(Table1[[#This Row],[Date]],"MMM")</f>
        <v>Apr</v>
      </c>
      <c r="Q97">
        <f>Table1[[#This Row],[Revenue]]-Table1[[#This Row],[Expenses]]</f>
        <v>167475</v>
      </c>
    </row>
    <row r="98" spans="1:17" x14ac:dyDescent="0.3">
      <c r="A98" s="2">
        <v>45754</v>
      </c>
      <c r="B98" t="s">
        <v>17</v>
      </c>
      <c r="C98" t="s">
        <v>18</v>
      </c>
      <c r="D98">
        <v>225349</v>
      </c>
      <c r="E98">
        <v>173603</v>
      </c>
      <c r="F98">
        <v>605</v>
      </c>
      <c r="G98">
        <v>232576</v>
      </c>
      <c r="H98" t="s">
        <v>58</v>
      </c>
      <c r="I98" t="s">
        <v>37</v>
      </c>
      <c r="J98" t="s">
        <v>29</v>
      </c>
      <c r="K98" t="s">
        <v>71</v>
      </c>
      <c r="L98" t="s">
        <v>103</v>
      </c>
      <c r="M98">
        <v>81.8</v>
      </c>
      <c r="N98">
        <v>54022</v>
      </c>
      <c r="O98">
        <f>YEAR(Table1[[#This Row],[Date]])</f>
        <v>2025</v>
      </c>
      <c r="P98" t="str">
        <f>TEXT(Table1[[#This Row],[Date]],"MMM")</f>
        <v>Apr</v>
      </c>
      <c r="Q98">
        <f>Table1[[#This Row],[Revenue]]-Table1[[#This Row],[Expenses]]</f>
        <v>51746</v>
      </c>
    </row>
    <row r="99" spans="1:17" x14ac:dyDescent="0.3">
      <c r="A99" s="2">
        <v>45755</v>
      </c>
      <c r="B99" t="s">
        <v>28</v>
      </c>
      <c r="C99" t="s">
        <v>24</v>
      </c>
      <c r="D99">
        <v>141906</v>
      </c>
      <c r="E99">
        <v>53305</v>
      </c>
      <c r="F99">
        <v>603</v>
      </c>
      <c r="G99">
        <v>148065</v>
      </c>
      <c r="H99" t="s">
        <v>19</v>
      </c>
      <c r="I99" t="s">
        <v>20</v>
      </c>
      <c r="J99" t="s">
        <v>51</v>
      </c>
      <c r="K99" t="s">
        <v>35</v>
      </c>
      <c r="L99" t="s">
        <v>127</v>
      </c>
      <c r="M99">
        <v>95.4</v>
      </c>
      <c r="N99">
        <v>87402</v>
      </c>
      <c r="O99">
        <f>YEAR(Table1[[#This Row],[Date]])</f>
        <v>2025</v>
      </c>
      <c r="P99" t="str">
        <f>TEXT(Table1[[#This Row],[Date]],"MMM")</f>
        <v>Apr</v>
      </c>
      <c r="Q99">
        <f>Table1[[#This Row],[Revenue]]-Table1[[#This Row],[Expenses]]</f>
        <v>88601</v>
      </c>
    </row>
    <row r="100" spans="1:17" x14ac:dyDescent="0.3">
      <c r="A100" s="2">
        <v>45756</v>
      </c>
      <c r="B100" t="s">
        <v>45</v>
      </c>
      <c r="C100" t="s">
        <v>48</v>
      </c>
      <c r="D100">
        <v>227851</v>
      </c>
      <c r="E100">
        <v>104599</v>
      </c>
      <c r="F100">
        <v>1179</v>
      </c>
      <c r="G100">
        <v>250370</v>
      </c>
      <c r="H100" t="s">
        <v>58</v>
      </c>
      <c r="I100" t="s">
        <v>26</v>
      </c>
      <c r="J100" t="s">
        <v>51</v>
      </c>
      <c r="K100" t="s">
        <v>35</v>
      </c>
      <c r="L100" t="s">
        <v>128</v>
      </c>
      <c r="M100">
        <v>75.8</v>
      </c>
      <c r="N100">
        <v>118061</v>
      </c>
      <c r="O100">
        <f>YEAR(Table1[[#This Row],[Date]])</f>
        <v>2025</v>
      </c>
      <c r="P100" t="str">
        <f>TEXT(Table1[[#This Row],[Date]],"MMM")</f>
        <v>Apr</v>
      </c>
      <c r="Q100">
        <f>Table1[[#This Row],[Revenue]]-Table1[[#This Row],[Expenses]]</f>
        <v>123252</v>
      </c>
    </row>
    <row r="101" spans="1:17" x14ac:dyDescent="0.3">
      <c r="A101" s="2">
        <v>45757</v>
      </c>
      <c r="B101" t="s">
        <v>32</v>
      </c>
      <c r="C101" t="s">
        <v>33</v>
      </c>
      <c r="D101">
        <v>246971</v>
      </c>
      <c r="E101">
        <v>108580</v>
      </c>
      <c r="F101">
        <v>907</v>
      </c>
      <c r="G101">
        <v>263409</v>
      </c>
      <c r="H101" t="s">
        <v>58</v>
      </c>
      <c r="I101" t="s">
        <v>37</v>
      </c>
      <c r="J101" t="s">
        <v>29</v>
      </c>
      <c r="K101" t="s">
        <v>22</v>
      </c>
      <c r="L101" t="s">
        <v>129</v>
      </c>
      <c r="M101">
        <v>82.7</v>
      </c>
      <c r="N101">
        <v>128641</v>
      </c>
      <c r="O101">
        <f>YEAR(Table1[[#This Row],[Date]])</f>
        <v>2025</v>
      </c>
      <c r="P101" t="str">
        <f>TEXT(Table1[[#This Row],[Date]],"MMM")</f>
        <v>Apr</v>
      </c>
      <c r="Q101">
        <f>Table1[[#This Row],[Revenue]]-Table1[[#This Row],[Expenses]]</f>
        <v>138391</v>
      </c>
    </row>
    <row r="102" spans="1:17" x14ac:dyDescent="0.3">
      <c r="A102" s="2">
        <v>45758</v>
      </c>
      <c r="B102" t="s">
        <v>17</v>
      </c>
      <c r="C102" t="s">
        <v>48</v>
      </c>
      <c r="D102">
        <v>260340</v>
      </c>
      <c r="E102">
        <v>183537</v>
      </c>
      <c r="F102">
        <v>666</v>
      </c>
      <c r="G102">
        <v>263047</v>
      </c>
      <c r="H102" t="s">
        <v>34</v>
      </c>
      <c r="I102" t="s">
        <v>20</v>
      </c>
      <c r="J102" t="s">
        <v>42</v>
      </c>
      <c r="K102" t="s">
        <v>49</v>
      </c>
      <c r="L102" t="s">
        <v>130</v>
      </c>
      <c r="M102">
        <v>76.8</v>
      </c>
      <c r="N102">
        <v>76527</v>
      </c>
      <c r="O102">
        <f>YEAR(Table1[[#This Row],[Date]])</f>
        <v>2025</v>
      </c>
      <c r="P102" t="str">
        <f>TEXT(Table1[[#This Row],[Date]],"MMM")</f>
        <v>Apr</v>
      </c>
      <c r="Q102">
        <f>Table1[[#This Row],[Revenue]]-Table1[[#This Row],[Expenses]]</f>
        <v>76803</v>
      </c>
    </row>
    <row r="103" spans="1:17" x14ac:dyDescent="0.3">
      <c r="A103" s="2">
        <v>45759</v>
      </c>
      <c r="B103" t="s">
        <v>28</v>
      </c>
      <c r="C103" t="s">
        <v>24</v>
      </c>
      <c r="D103">
        <v>150288</v>
      </c>
      <c r="E103">
        <v>74991</v>
      </c>
      <c r="F103">
        <v>277</v>
      </c>
      <c r="G103">
        <v>142266</v>
      </c>
      <c r="H103" t="s">
        <v>25</v>
      </c>
      <c r="I103" t="s">
        <v>26</v>
      </c>
      <c r="J103" t="s">
        <v>3</v>
      </c>
      <c r="K103" t="s">
        <v>71</v>
      </c>
      <c r="L103" t="s">
        <v>89</v>
      </c>
      <c r="M103">
        <v>81.7</v>
      </c>
      <c r="N103">
        <v>68551</v>
      </c>
      <c r="O103">
        <f>YEAR(Table1[[#This Row],[Date]])</f>
        <v>2025</v>
      </c>
      <c r="P103" t="str">
        <f>TEXT(Table1[[#This Row],[Date]],"MMM")</f>
        <v>Apr</v>
      </c>
      <c r="Q103">
        <f>Table1[[#This Row],[Revenue]]-Table1[[#This Row],[Expenses]]</f>
        <v>75297</v>
      </c>
    </row>
    <row r="104" spans="1:17" x14ac:dyDescent="0.3">
      <c r="A104" s="2">
        <v>45760</v>
      </c>
      <c r="B104" t="s">
        <v>45</v>
      </c>
      <c r="C104" t="s">
        <v>41</v>
      </c>
      <c r="D104">
        <v>150445</v>
      </c>
      <c r="E104">
        <v>108882</v>
      </c>
      <c r="F104">
        <v>971</v>
      </c>
      <c r="G104">
        <v>141981</v>
      </c>
      <c r="H104" t="s">
        <v>54</v>
      </c>
      <c r="I104" t="s">
        <v>20</v>
      </c>
      <c r="J104" t="s">
        <v>21</v>
      </c>
      <c r="K104" t="s">
        <v>49</v>
      </c>
      <c r="L104" t="s">
        <v>131</v>
      </c>
      <c r="M104">
        <v>77.900000000000006</v>
      </c>
      <c r="N104">
        <v>37491</v>
      </c>
      <c r="O104">
        <f>YEAR(Table1[[#This Row],[Date]])</f>
        <v>2025</v>
      </c>
      <c r="P104" t="str">
        <f>TEXT(Table1[[#This Row],[Date]],"MMM")</f>
        <v>Apr</v>
      </c>
      <c r="Q104">
        <f>Table1[[#This Row],[Revenue]]-Table1[[#This Row],[Expenses]]</f>
        <v>41563</v>
      </c>
    </row>
    <row r="105" spans="1:17" x14ac:dyDescent="0.3">
      <c r="A105" s="2">
        <v>45761</v>
      </c>
      <c r="B105" t="s">
        <v>28</v>
      </c>
      <c r="C105" t="s">
        <v>41</v>
      </c>
      <c r="D105">
        <v>195812</v>
      </c>
      <c r="E105">
        <v>56804</v>
      </c>
      <c r="F105">
        <v>1140</v>
      </c>
      <c r="G105">
        <v>180089</v>
      </c>
      <c r="H105" t="s">
        <v>54</v>
      </c>
      <c r="I105" t="s">
        <v>20</v>
      </c>
      <c r="J105" t="s">
        <v>3</v>
      </c>
      <c r="K105" t="s">
        <v>30</v>
      </c>
      <c r="L105" t="s">
        <v>77</v>
      </c>
      <c r="M105">
        <v>77.7</v>
      </c>
      <c r="N105">
        <v>141626</v>
      </c>
      <c r="O105">
        <f>YEAR(Table1[[#This Row],[Date]])</f>
        <v>2025</v>
      </c>
      <c r="P105" t="str">
        <f>TEXT(Table1[[#This Row],[Date]],"MMM")</f>
        <v>Apr</v>
      </c>
      <c r="Q105">
        <f>Table1[[#This Row],[Revenue]]-Table1[[#This Row],[Expenses]]</f>
        <v>139008</v>
      </c>
    </row>
    <row r="106" spans="1:17" x14ac:dyDescent="0.3">
      <c r="A106" s="2">
        <v>45762</v>
      </c>
      <c r="B106" t="s">
        <v>28</v>
      </c>
      <c r="C106" t="s">
        <v>18</v>
      </c>
      <c r="D106">
        <v>117789</v>
      </c>
      <c r="E106">
        <v>32775</v>
      </c>
      <c r="F106">
        <v>870</v>
      </c>
      <c r="G106">
        <v>113896</v>
      </c>
      <c r="H106" t="s">
        <v>58</v>
      </c>
      <c r="I106" t="s">
        <v>37</v>
      </c>
      <c r="J106" t="s">
        <v>51</v>
      </c>
      <c r="K106" t="s">
        <v>49</v>
      </c>
      <c r="L106" t="s">
        <v>132</v>
      </c>
      <c r="M106">
        <v>97.4</v>
      </c>
      <c r="N106">
        <v>93410</v>
      </c>
      <c r="O106">
        <f>YEAR(Table1[[#This Row],[Date]])</f>
        <v>2025</v>
      </c>
      <c r="P106" t="str">
        <f>TEXT(Table1[[#This Row],[Date]],"MMM")</f>
        <v>Apr</v>
      </c>
      <c r="Q106">
        <f>Table1[[#This Row],[Revenue]]-Table1[[#This Row],[Expenses]]</f>
        <v>85014</v>
      </c>
    </row>
    <row r="107" spans="1:17" x14ac:dyDescent="0.3">
      <c r="A107" s="2">
        <v>45763</v>
      </c>
      <c r="B107" t="s">
        <v>28</v>
      </c>
      <c r="C107" t="s">
        <v>33</v>
      </c>
      <c r="D107">
        <v>256049</v>
      </c>
      <c r="E107">
        <v>178983</v>
      </c>
      <c r="F107">
        <v>1254</v>
      </c>
      <c r="G107">
        <v>242311</v>
      </c>
      <c r="H107" t="s">
        <v>25</v>
      </c>
      <c r="I107" t="s">
        <v>37</v>
      </c>
      <c r="J107" t="s">
        <v>51</v>
      </c>
      <c r="K107" t="s">
        <v>22</v>
      </c>
      <c r="L107" t="s">
        <v>96</v>
      </c>
      <c r="M107">
        <v>93.9</v>
      </c>
      <c r="N107">
        <v>82478</v>
      </c>
      <c r="O107">
        <f>YEAR(Table1[[#This Row],[Date]])</f>
        <v>2025</v>
      </c>
      <c r="P107" t="str">
        <f>TEXT(Table1[[#This Row],[Date]],"MMM")</f>
        <v>Apr</v>
      </c>
      <c r="Q107">
        <f>Table1[[#This Row],[Revenue]]-Table1[[#This Row],[Expenses]]</f>
        <v>77066</v>
      </c>
    </row>
    <row r="108" spans="1:17" x14ac:dyDescent="0.3">
      <c r="A108" s="2">
        <v>45764</v>
      </c>
      <c r="B108" t="s">
        <v>45</v>
      </c>
      <c r="C108" t="s">
        <v>24</v>
      </c>
      <c r="D108">
        <v>227956</v>
      </c>
      <c r="E108">
        <v>108375</v>
      </c>
      <c r="F108">
        <v>338</v>
      </c>
      <c r="G108">
        <v>235120</v>
      </c>
      <c r="H108" t="s">
        <v>58</v>
      </c>
      <c r="I108" t="s">
        <v>37</v>
      </c>
      <c r="J108" t="s">
        <v>42</v>
      </c>
      <c r="K108" t="s">
        <v>49</v>
      </c>
      <c r="L108" t="s">
        <v>133</v>
      </c>
      <c r="M108">
        <v>96.3</v>
      </c>
      <c r="N108">
        <v>122784</v>
      </c>
      <c r="O108">
        <f>YEAR(Table1[[#This Row],[Date]])</f>
        <v>2025</v>
      </c>
      <c r="P108" t="str">
        <f>TEXT(Table1[[#This Row],[Date]],"MMM")</f>
        <v>Apr</v>
      </c>
      <c r="Q108">
        <f>Table1[[#This Row],[Revenue]]-Table1[[#This Row],[Expenses]]</f>
        <v>119581</v>
      </c>
    </row>
    <row r="109" spans="1:17" x14ac:dyDescent="0.3">
      <c r="A109" s="2">
        <v>45765</v>
      </c>
      <c r="B109" t="s">
        <v>17</v>
      </c>
      <c r="C109" t="s">
        <v>39</v>
      </c>
      <c r="D109">
        <v>296233</v>
      </c>
      <c r="E109">
        <v>146326</v>
      </c>
      <c r="F109">
        <v>374</v>
      </c>
      <c r="G109">
        <v>283788</v>
      </c>
      <c r="H109" t="s">
        <v>58</v>
      </c>
      <c r="I109" t="s">
        <v>26</v>
      </c>
      <c r="J109" t="s">
        <v>3</v>
      </c>
      <c r="K109" t="s">
        <v>49</v>
      </c>
      <c r="L109" t="s">
        <v>134</v>
      </c>
      <c r="M109">
        <v>89.7</v>
      </c>
      <c r="N109">
        <v>159141</v>
      </c>
      <c r="O109">
        <f>YEAR(Table1[[#This Row],[Date]])</f>
        <v>2025</v>
      </c>
      <c r="P109" t="str">
        <f>TEXT(Table1[[#This Row],[Date]],"MMM")</f>
        <v>Apr</v>
      </c>
      <c r="Q109">
        <f>Table1[[#This Row],[Revenue]]-Table1[[#This Row],[Expenses]]</f>
        <v>149907</v>
      </c>
    </row>
    <row r="110" spans="1:17" x14ac:dyDescent="0.3">
      <c r="A110" s="2">
        <v>45766</v>
      </c>
      <c r="B110" t="s">
        <v>28</v>
      </c>
      <c r="C110" t="s">
        <v>24</v>
      </c>
      <c r="D110">
        <v>110097</v>
      </c>
      <c r="E110">
        <v>85655</v>
      </c>
      <c r="F110">
        <v>478</v>
      </c>
      <c r="G110">
        <v>100999</v>
      </c>
      <c r="H110" t="s">
        <v>19</v>
      </c>
      <c r="I110" t="s">
        <v>20</v>
      </c>
      <c r="J110" t="s">
        <v>51</v>
      </c>
      <c r="K110" t="s">
        <v>55</v>
      </c>
      <c r="L110" t="s">
        <v>69</v>
      </c>
      <c r="M110">
        <v>88.8</v>
      </c>
      <c r="N110">
        <v>24745</v>
      </c>
      <c r="O110">
        <f>YEAR(Table1[[#This Row],[Date]])</f>
        <v>2025</v>
      </c>
      <c r="P110" t="str">
        <f>TEXT(Table1[[#This Row],[Date]],"MMM")</f>
        <v>Apr</v>
      </c>
      <c r="Q110">
        <f>Table1[[#This Row],[Revenue]]-Table1[[#This Row],[Expenses]]</f>
        <v>24442</v>
      </c>
    </row>
    <row r="111" spans="1:17" x14ac:dyDescent="0.3">
      <c r="A111" s="2">
        <v>45767</v>
      </c>
      <c r="B111" t="s">
        <v>32</v>
      </c>
      <c r="C111" t="s">
        <v>41</v>
      </c>
      <c r="D111">
        <v>142420</v>
      </c>
      <c r="E111">
        <v>78030</v>
      </c>
      <c r="F111">
        <v>1435</v>
      </c>
      <c r="G111">
        <v>143692</v>
      </c>
      <c r="H111" t="s">
        <v>58</v>
      </c>
      <c r="I111" t="s">
        <v>37</v>
      </c>
      <c r="J111" t="s">
        <v>29</v>
      </c>
      <c r="K111" t="s">
        <v>24</v>
      </c>
      <c r="L111" t="s">
        <v>135</v>
      </c>
      <c r="M111">
        <v>93.7</v>
      </c>
      <c r="N111">
        <v>63366</v>
      </c>
      <c r="O111">
        <f>YEAR(Table1[[#This Row],[Date]])</f>
        <v>2025</v>
      </c>
      <c r="P111" t="str">
        <f>TEXT(Table1[[#This Row],[Date]],"MMM")</f>
        <v>Apr</v>
      </c>
      <c r="Q111">
        <f>Table1[[#This Row],[Revenue]]-Table1[[#This Row],[Expenses]]</f>
        <v>64390</v>
      </c>
    </row>
    <row r="112" spans="1:17" x14ac:dyDescent="0.3">
      <c r="A112" s="2">
        <v>45768</v>
      </c>
      <c r="B112" t="s">
        <v>32</v>
      </c>
      <c r="C112" t="s">
        <v>33</v>
      </c>
      <c r="D112">
        <v>244670</v>
      </c>
      <c r="E112">
        <v>36369</v>
      </c>
      <c r="F112">
        <v>690</v>
      </c>
      <c r="G112">
        <v>254571</v>
      </c>
      <c r="H112" t="s">
        <v>58</v>
      </c>
      <c r="I112" t="s">
        <v>37</v>
      </c>
      <c r="J112" t="s">
        <v>29</v>
      </c>
      <c r="K112" t="s">
        <v>52</v>
      </c>
      <c r="L112" t="s">
        <v>136</v>
      </c>
      <c r="M112">
        <v>89.7</v>
      </c>
      <c r="N112">
        <v>211396</v>
      </c>
      <c r="O112">
        <f>YEAR(Table1[[#This Row],[Date]])</f>
        <v>2025</v>
      </c>
      <c r="P112" t="str">
        <f>TEXT(Table1[[#This Row],[Date]],"MMM")</f>
        <v>Apr</v>
      </c>
      <c r="Q112">
        <f>Table1[[#This Row],[Revenue]]-Table1[[#This Row],[Expenses]]</f>
        <v>208301</v>
      </c>
    </row>
    <row r="113" spans="1:17" x14ac:dyDescent="0.3">
      <c r="A113" s="2">
        <v>45769</v>
      </c>
      <c r="B113" t="s">
        <v>28</v>
      </c>
      <c r="C113" t="s">
        <v>24</v>
      </c>
      <c r="D113">
        <v>158945</v>
      </c>
      <c r="E113">
        <v>103713</v>
      </c>
      <c r="F113">
        <v>1173</v>
      </c>
      <c r="G113">
        <v>166618</v>
      </c>
      <c r="H113" t="s">
        <v>58</v>
      </c>
      <c r="I113" t="s">
        <v>37</v>
      </c>
      <c r="J113" t="s">
        <v>21</v>
      </c>
      <c r="K113" t="s">
        <v>35</v>
      </c>
      <c r="L113" t="s">
        <v>137</v>
      </c>
      <c r="M113">
        <v>94.8</v>
      </c>
      <c r="N113">
        <v>51544</v>
      </c>
      <c r="O113">
        <f>YEAR(Table1[[#This Row],[Date]])</f>
        <v>2025</v>
      </c>
      <c r="P113" t="str">
        <f>TEXT(Table1[[#This Row],[Date]],"MMM")</f>
        <v>Apr</v>
      </c>
      <c r="Q113">
        <f>Table1[[#This Row],[Revenue]]-Table1[[#This Row],[Expenses]]</f>
        <v>55232</v>
      </c>
    </row>
    <row r="114" spans="1:17" x14ac:dyDescent="0.3">
      <c r="A114" s="2">
        <v>45770</v>
      </c>
      <c r="B114" t="s">
        <v>45</v>
      </c>
      <c r="C114" t="s">
        <v>39</v>
      </c>
      <c r="D114">
        <v>64001</v>
      </c>
      <c r="E114">
        <v>43676</v>
      </c>
      <c r="F114">
        <v>1225</v>
      </c>
      <c r="G114">
        <v>62685</v>
      </c>
      <c r="H114" t="s">
        <v>54</v>
      </c>
      <c r="I114" t="s">
        <v>26</v>
      </c>
      <c r="J114" t="s">
        <v>42</v>
      </c>
      <c r="K114" t="s">
        <v>52</v>
      </c>
      <c r="L114" t="s">
        <v>76</v>
      </c>
      <c r="M114">
        <v>90.2</v>
      </c>
      <c r="N114">
        <v>22335</v>
      </c>
      <c r="O114">
        <f>YEAR(Table1[[#This Row],[Date]])</f>
        <v>2025</v>
      </c>
      <c r="P114" t="str">
        <f>TEXT(Table1[[#This Row],[Date]],"MMM")</f>
        <v>Apr</v>
      </c>
      <c r="Q114">
        <f>Table1[[#This Row],[Revenue]]-Table1[[#This Row],[Expenses]]</f>
        <v>20325</v>
      </c>
    </row>
    <row r="115" spans="1:17" x14ac:dyDescent="0.3">
      <c r="A115" s="2">
        <v>45771</v>
      </c>
      <c r="B115" t="s">
        <v>45</v>
      </c>
      <c r="C115" t="s">
        <v>41</v>
      </c>
      <c r="D115">
        <v>154516</v>
      </c>
      <c r="E115">
        <v>87381</v>
      </c>
      <c r="F115">
        <v>786</v>
      </c>
      <c r="G115">
        <v>166882</v>
      </c>
      <c r="H115" t="s">
        <v>54</v>
      </c>
      <c r="I115" t="s">
        <v>20</v>
      </c>
      <c r="J115" t="s">
        <v>29</v>
      </c>
      <c r="K115" t="s">
        <v>35</v>
      </c>
      <c r="L115" t="s">
        <v>114</v>
      </c>
      <c r="M115">
        <v>94.4</v>
      </c>
      <c r="N115">
        <v>64554</v>
      </c>
      <c r="O115">
        <f>YEAR(Table1[[#This Row],[Date]])</f>
        <v>2025</v>
      </c>
      <c r="P115" t="str">
        <f>TEXT(Table1[[#This Row],[Date]],"MMM")</f>
        <v>Apr</v>
      </c>
      <c r="Q115">
        <f>Table1[[#This Row],[Revenue]]-Table1[[#This Row],[Expenses]]</f>
        <v>67135</v>
      </c>
    </row>
    <row r="116" spans="1:17" x14ac:dyDescent="0.3">
      <c r="A116" s="2">
        <v>45772</v>
      </c>
      <c r="B116" t="s">
        <v>32</v>
      </c>
      <c r="C116" t="s">
        <v>41</v>
      </c>
      <c r="D116">
        <v>183778</v>
      </c>
      <c r="E116">
        <v>83168</v>
      </c>
      <c r="F116">
        <v>1353</v>
      </c>
      <c r="G116">
        <v>168623</v>
      </c>
      <c r="H116" t="s">
        <v>34</v>
      </c>
      <c r="I116" t="s">
        <v>37</v>
      </c>
      <c r="J116" t="s">
        <v>29</v>
      </c>
      <c r="K116" t="s">
        <v>46</v>
      </c>
      <c r="L116" t="s">
        <v>138</v>
      </c>
      <c r="M116">
        <v>78.2</v>
      </c>
      <c r="N116">
        <v>96237</v>
      </c>
      <c r="O116">
        <f>YEAR(Table1[[#This Row],[Date]])</f>
        <v>2025</v>
      </c>
      <c r="P116" t="str">
        <f>TEXT(Table1[[#This Row],[Date]],"MMM")</f>
        <v>Apr</v>
      </c>
      <c r="Q116">
        <f>Table1[[#This Row],[Revenue]]-Table1[[#This Row],[Expenses]]</f>
        <v>100610</v>
      </c>
    </row>
    <row r="117" spans="1:17" x14ac:dyDescent="0.3">
      <c r="A117" s="2">
        <v>45773</v>
      </c>
      <c r="B117" t="s">
        <v>17</v>
      </c>
      <c r="C117" t="s">
        <v>24</v>
      </c>
      <c r="D117">
        <v>63280</v>
      </c>
      <c r="E117">
        <v>50385</v>
      </c>
      <c r="F117">
        <v>1242</v>
      </c>
      <c r="G117">
        <v>58152</v>
      </c>
      <c r="H117" t="s">
        <v>25</v>
      </c>
      <c r="I117" t="s">
        <v>37</v>
      </c>
      <c r="J117" t="s">
        <v>42</v>
      </c>
      <c r="K117" t="s">
        <v>24</v>
      </c>
      <c r="L117" t="s">
        <v>139</v>
      </c>
      <c r="M117">
        <v>93.8</v>
      </c>
      <c r="N117">
        <v>12501</v>
      </c>
      <c r="O117">
        <f>YEAR(Table1[[#This Row],[Date]])</f>
        <v>2025</v>
      </c>
      <c r="P117" t="str">
        <f>TEXT(Table1[[#This Row],[Date]],"MMM")</f>
        <v>Apr</v>
      </c>
      <c r="Q117">
        <f>Table1[[#This Row],[Revenue]]-Table1[[#This Row],[Expenses]]</f>
        <v>12895</v>
      </c>
    </row>
    <row r="118" spans="1:17" x14ac:dyDescent="0.3">
      <c r="A118" s="2">
        <v>45774</v>
      </c>
      <c r="B118" t="s">
        <v>17</v>
      </c>
      <c r="C118" t="s">
        <v>33</v>
      </c>
      <c r="D118">
        <v>198994</v>
      </c>
      <c r="E118">
        <v>78347</v>
      </c>
      <c r="F118">
        <v>619</v>
      </c>
      <c r="G118">
        <v>216564</v>
      </c>
      <c r="H118" t="s">
        <v>25</v>
      </c>
      <c r="I118" t="s">
        <v>26</v>
      </c>
      <c r="J118" t="s">
        <v>21</v>
      </c>
      <c r="K118" t="s">
        <v>55</v>
      </c>
      <c r="L118" t="s">
        <v>69</v>
      </c>
      <c r="M118">
        <v>86.6</v>
      </c>
      <c r="N118">
        <v>114858</v>
      </c>
      <c r="O118">
        <f>YEAR(Table1[[#This Row],[Date]])</f>
        <v>2025</v>
      </c>
      <c r="P118" t="str">
        <f>TEXT(Table1[[#This Row],[Date]],"MMM")</f>
        <v>Apr</v>
      </c>
      <c r="Q118">
        <f>Table1[[#This Row],[Revenue]]-Table1[[#This Row],[Expenses]]</f>
        <v>120647</v>
      </c>
    </row>
    <row r="119" spans="1:17" x14ac:dyDescent="0.3">
      <c r="A119" s="2">
        <v>45775</v>
      </c>
      <c r="B119" t="s">
        <v>28</v>
      </c>
      <c r="C119" t="s">
        <v>48</v>
      </c>
      <c r="D119">
        <v>101334</v>
      </c>
      <c r="E119">
        <v>41567</v>
      </c>
      <c r="F119">
        <v>1395</v>
      </c>
      <c r="G119">
        <v>101455</v>
      </c>
      <c r="H119" t="s">
        <v>54</v>
      </c>
      <c r="I119" t="s">
        <v>20</v>
      </c>
      <c r="J119" t="s">
        <v>51</v>
      </c>
      <c r="K119" t="s">
        <v>52</v>
      </c>
      <c r="L119" t="s">
        <v>140</v>
      </c>
      <c r="M119">
        <v>95.2</v>
      </c>
      <c r="N119">
        <v>63880</v>
      </c>
      <c r="O119">
        <f>YEAR(Table1[[#This Row],[Date]])</f>
        <v>2025</v>
      </c>
      <c r="P119" t="str">
        <f>TEXT(Table1[[#This Row],[Date]],"MMM")</f>
        <v>Apr</v>
      </c>
      <c r="Q119">
        <f>Table1[[#This Row],[Revenue]]-Table1[[#This Row],[Expenses]]</f>
        <v>59767</v>
      </c>
    </row>
    <row r="120" spans="1:17" x14ac:dyDescent="0.3">
      <c r="A120" s="2">
        <v>45776</v>
      </c>
      <c r="B120" t="s">
        <v>32</v>
      </c>
      <c r="C120" t="s">
        <v>33</v>
      </c>
      <c r="D120">
        <v>252062</v>
      </c>
      <c r="E120">
        <v>99165</v>
      </c>
      <c r="F120">
        <v>767</v>
      </c>
      <c r="G120">
        <v>267814</v>
      </c>
      <c r="H120" t="s">
        <v>58</v>
      </c>
      <c r="I120" t="s">
        <v>37</v>
      </c>
      <c r="J120" t="s">
        <v>21</v>
      </c>
      <c r="K120" t="s">
        <v>49</v>
      </c>
      <c r="L120" t="s">
        <v>141</v>
      </c>
      <c r="M120">
        <v>76.5</v>
      </c>
      <c r="N120">
        <v>147436</v>
      </c>
      <c r="O120">
        <f>YEAR(Table1[[#This Row],[Date]])</f>
        <v>2025</v>
      </c>
      <c r="P120" t="str">
        <f>TEXT(Table1[[#This Row],[Date]],"MMM")</f>
        <v>Apr</v>
      </c>
      <c r="Q120">
        <f>Table1[[#This Row],[Revenue]]-Table1[[#This Row],[Expenses]]</f>
        <v>152897</v>
      </c>
    </row>
    <row r="121" spans="1:17" x14ac:dyDescent="0.3">
      <c r="A121" s="2">
        <v>45777</v>
      </c>
      <c r="B121" t="s">
        <v>45</v>
      </c>
      <c r="C121" t="s">
        <v>18</v>
      </c>
      <c r="D121">
        <v>160809</v>
      </c>
      <c r="E121">
        <v>70785</v>
      </c>
      <c r="F121">
        <v>441</v>
      </c>
      <c r="G121">
        <v>176107</v>
      </c>
      <c r="H121" t="s">
        <v>58</v>
      </c>
      <c r="I121" t="s">
        <v>37</v>
      </c>
      <c r="J121" t="s">
        <v>29</v>
      </c>
      <c r="K121" t="s">
        <v>22</v>
      </c>
      <c r="L121" t="s">
        <v>107</v>
      </c>
      <c r="M121">
        <v>78.099999999999994</v>
      </c>
      <c r="N121">
        <v>91912</v>
      </c>
      <c r="O121">
        <f>YEAR(Table1[[#This Row],[Date]])</f>
        <v>2025</v>
      </c>
      <c r="P121" t="str">
        <f>TEXT(Table1[[#This Row],[Date]],"MMM")</f>
        <v>Apr</v>
      </c>
      <c r="Q121">
        <f>Table1[[#This Row],[Revenue]]-Table1[[#This Row],[Expenses]]</f>
        <v>90024</v>
      </c>
    </row>
    <row r="122" spans="1:17" x14ac:dyDescent="0.3">
      <c r="A122" s="2">
        <v>45778</v>
      </c>
      <c r="B122" t="s">
        <v>32</v>
      </c>
      <c r="C122" t="s">
        <v>39</v>
      </c>
      <c r="D122">
        <v>287782</v>
      </c>
      <c r="E122">
        <v>131858</v>
      </c>
      <c r="F122">
        <v>1169</v>
      </c>
      <c r="G122">
        <v>270563</v>
      </c>
      <c r="H122" t="s">
        <v>34</v>
      </c>
      <c r="I122" t="s">
        <v>37</v>
      </c>
      <c r="J122" t="s">
        <v>21</v>
      </c>
      <c r="K122" t="s">
        <v>55</v>
      </c>
      <c r="L122" t="s">
        <v>142</v>
      </c>
      <c r="M122">
        <v>97.7</v>
      </c>
      <c r="N122">
        <v>152205</v>
      </c>
      <c r="O122">
        <f>YEAR(Table1[[#This Row],[Date]])</f>
        <v>2025</v>
      </c>
      <c r="P122" t="str">
        <f>TEXT(Table1[[#This Row],[Date]],"MMM")</f>
        <v>May</v>
      </c>
      <c r="Q122">
        <f>Table1[[#This Row],[Revenue]]-Table1[[#This Row],[Expenses]]</f>
        <v>155924</v>
      </c>
    </row>
    <row r="123" spans="1:17" x14ac:dyDescent="0.3">
      <c r="A123" s="2">
        <v>45779</v>
      </c>
      <c r="B123" t="s">
        <v>45</v>
      </c>
      <c r="C123" t="s">
        <v>24</v>
      </c>
      <c r="D123">
        <v>67405</v>
      </c>
      <c r="E123">
        <v>41469</v>
      </c>
      <c r="F123">
        <v>1421</v>
      </c>
      <c r="G123">
        <v>73349</v>
      </c>
      <c r="H123" t="s">
        <v>34</v>
      </c>
      <c r="I123" t="s">
        <v>26</v>
      </c>
      <c r="J123" t="s">
        <v>29</v>
      </c>
      <c r="K123" t="s">
        <v>55</v>
      </c>
      <c r="L123" t="s">
        <v>143</v>
      </c>
      <c r="M123">
        <v>98.7</v>
      </c>
      <c r="N123">
        <v>24204</v>
      </c>
      <c r="O123">
        <f>YEAR(Table1[[#This Row],[Date]])</f>
        <v>2025</v>
      </c>
      <c r="P123" t="str">
        <f>TEXT(Table1[[#This Row],[Date]],"MMM")</f>
        <v>May</v>
      </c>
      <c r="Q123">
        <f>Table1[[#This Row],[Revenue]]-Table1[[#This Row],[Expenses]]</f>
        <v>25936</v>
      </c>
    </row>
    <row r="124" spans="1:17" x14ac:dyDescent="0.3">
      <c r="A124" s="2">
        <v>45780</v>
      </c>
      <c r="B124" t="s">
        <v>45</v>
      </c>
      <c r="C124" t="s">
        <v>18</v>
      </c>
      <c r="D124">
        <v>291694</v>
      </c>
      <c r="E124">
        <v>30391</v>
      </c>
      <c r="F124">
        <v>1290</v>
      </c>
      <c r="G124">
        <v>299766</v>
      </c>
      <c r="H124" t="s">
        <v>25</v>
      </c>
      <c r="I124" t="s">
        <v>20</v>
      </c>
      <c r="J124" t="s">
        <v>3</v>
      </c>
      <c r="K124" t="s">
        <v>35</v>
      </c>
      <c r="L124" t="s">
        <v>92</v>
      </c>
      <c r="M124">
        <v>86.7</v>
      </c>
      <c r="N124">
        <v>236752</v>
      </c>
      <c r="O124">
        <f>YEAR(Table1[[#This Row],[Date]])</f>
        <v>2025</v>
      </c>
      <c r="P124" t="str">
        <f>TEXT(Table1[[#This Row],[Date]],"MMM")</f>
        <v>May</v>
      </c>
      <c r="Q124">
        <f>Table1[[#This Row],[Revenue]]-Table1[[#This Row],[Expenses]]</f>
        <v>261303</v>
      </c>
    </row>
    <row r="125" spans="1:17" x14ac:dyDescent="0.3">
      <c r="A125" s="2">
        <v>45781</v>
      </c>
      <c r="B125" t="s">
        <v>17</v>
      </c>
      <c r="C125" t="s">
        <v>18</v>
      </c>
      <c r="D125">
        <v>80986</v>
      </c>
      <c r="E125">
        <v>46780</v>
      </c>
      <c r="F125">
        <v>1402</v>
      </c>
      <c r="G125">
        <v>84567</v>
      </c>
      <c r="H125" t="s">
        <v>58</v>
      </c>
      <c r="I125" t="s">
        <v>37</v>
      </c>
      <c r="J125" t="s">
        <v>42</v>
      </c>
      <c r="K125" t="s">
        <v>24</v>
      </c>
      <c r="L125" t="s">
        <v>144</v>
      </c>
      <c r="M125">
        <v>88.5</v>
      </c>
      <c r="N125">
        <v>33394</v>
      </c>
      <c r="O125">
        <f>YEAR(Table1[[#This Row],[Date]])</f>
        <v>2025</v>
      </c>
      <c r="P125" t="str">
        <f>TEXT(Table1[[#This Row],[Date]],"MMM")</f>
        <v>May</v>
      </c>
      <c r="Q125">
        <f>Table1[[#This Row],[Revenue]]-Table1[[#This Row],[Expenses]]</f>
        <v>34206</v>
      </c>
    </row>
    <row r="126" spans="1:17" x14ac:dyDescent="0.3">
      <c r="A126" s="2">
        <v>45782</v>
      </c>
      <c r="B126" t="s">
        <v>45</v>
      </c>
      <c r="C126" t="s">
        <v>33</v>
      </c>
      <c r="D126">
        <v>293426</v>
      </c>
      <c r="E126">
        <v>34835</v>
      </c>
      <c r="F126">
        <v>1353</v>
      </c>
      <c r="G126">
        <v>317620</v>
      </c>
      <c r="H126" t="s">
        <v>58</v>
      </c>
      <c r="I126" t="s">
        <v>37</v>
      </c>
      <c r="J126" t="s">
        <v>29</v>
      </c>
      <c r="K126" t="s">
        <v>49</v>
      </c>
      <c r="L126" t="s">
        <v>27</v>
      </c>
      <c r="M126">
        <v>76.8</v>
      </c>
      <c r="N126">
        <v>234228</v>
      </c>
      <c r="O126">
        <f>YEAR(Table1[[#This Row],[Date]])</f>
        <v>2025</v>
      </c>
      <c r="P126" t="str">
        <f>TEXT(Table1[[#This Row],[Date]],"MMM")</f>
        <v>May</v>
      </c>
      <c r="Q126">
        <f>Table1[[#This Row],[Revenue]]-Table1[[#This Row],[Expenses]]</f>
        <v>258591</v>
      </c>
    </row>
    <row r="127" spans="1:17" x14ac:dyDescent="0.3">
      <c r="A127" s="2">
        <v>45783</v>
      </c>
      <c r="B127" t="s">
        <v>45</v>
      </c>
      <c r="C127" t="s">
        <v>39</v>
      </c>
      <c r="D127">
        <v>259295</v>
      </c>
      <c r="E127">
        <v>203006</v>
      </c>
      <c r="F127">
        <v>493</v>
      </c>
      <c r="G127">
        <v>242926</v>
      </c>
      <c r="H127" t="s">
        <v>25</v>
      </c>
      <c r="I127" t="s">
        <v>37</v>
      </c>
      <c r="J127" t="s">
        <v>29</v>
      </c>
      <c r="K127" t="s">
        <v>71</v>
      </c>
      <c r="L127" t="s">
        <v>145</v>
      </c>
      <c r="M127">
        <v>90.6</v>
      </c>
      <c r="N127">
        <v>57847</v>
      </c>
      <c r="O127">
        <f>YEAR(Table1[[#This Row],[Date]])</f>
        <v>2025</v>
      </c>
      <c r="P127" t="str">
        <f>TEXT(Table1[[#This Row],[Date]],"MMM")</f>
        <v>May</v>
      </c>
      <c r="Q127">
        <f>Table1[[#This Row],[Revenue]]-Table1[[#This Row],[Expenses]]</f>
        <v>56289</v>
      </c>
    </row>
    <row r="128" spans="1:17" x14ac:dyDescent="0.3">
      <c r="A128" s="2">
        <v>45784</v>
      </c>
      <c r="B128" t="s">
        <v>17</v>
      </c>
      <c r="C128" t="s">
        <v>41</v>
      </c>
      <c r="D128">
        <v>168438</v>
      </c>
      <c r="E128">
        <v>70499</v>
      </c>
      <c r="F128">
        <v>462</v>
      </c>
      <c r="G128">
        <v>168055</v>
      </c>
      <c r="H128" t="s">
        <v>25</v>
      </c>
      <c r="I128" t="s">
        <v>37</v>
      </c>
      <c r="J128" t="s">
        <v>29</v>
      </c>
      <c r="K128" t="s">
        <v>49</v>
      </c>
      <c r="L128" t="s">
        <v>146</v>
      </c>
      <c r="M128">
        <v>93.7</v>
      </c>
      <c r="N128">
        <v>99095</v>
      </c>
      <c r="O128">
        <f>YEAR(Table1[[#This Row],[Date]])</f>
        <v>2025</v>
      </c>
      <c r="P128" t="str">
        <f>TEXT(Table1[[#This Row],[Date]],"MMM")</f>
        <v>May</v>
      </c>
      <c r="Q128">
        <f>Table1[[#This Row],[Revenue]]-Table1[[#This Row],[Expenses]]</f>
        <v>97939</v>
      </c>
    </row>
    <row r="129" spans="1:17" x14ac:dyDescent="0.3">
      <c r="A129" s="2">
        <v>45785</v>
      </c>
      <c r="B129" t="s">
        <v>32</v>
      </c>
      <c r="C129" t="s">
        <v>39</v>
      </c>
      <c r="D129">
        <v>289153</v>
      </c>
      <c r="E129">
        <v>220819</v>
      </c>
      <c r="F129">
        <v>430</v>
      </c>
      <c r="G129">
        <v>299371</v>
      </c>
      <c r="H129" t="s">
        <v>19</v>
      </c>
      <c r="I129" t="s">
        <v>20</v>
      </c>
      <c r="J129" t="s">
        <v>42</v>
      </c>
      <c r="K129" t="s">
        <v>49</v>
      </c>
      <c r="L129" t="s">
        <v>147</v>
      </c>
      <c r="M129">
        <v>88.5</v>
      </c>
      <c r="N129">
        <v>61824</v>
      </c>
      <c r="O129">
        <f>YEAR(Table1[[#This Row],[Date]])</f>
        <v>2025</v>
      </c>
      <c r="P129" t="str">
        <f>TEXT(Table1[[#This Row],[Date]],"MMM")</f>
        <v>May</v>
      </c>
      <c r="Q129">
        <f>Table1[[#This Row],[Revenue]]-Table1[[#This Row],[Expenses]]</f>
        <v>68334</v>
      </c>
    </row>
    <row r="130" spans="1:17" x14ac:dyDescent="0.3">
      <c r="A130" s="2">
        <v>45786</v>
      </c>
      <c r="B130" t="s">
        <v>32</v>
      </c>
      <c r="C130" t="s">
        <v>33</v>
      </c>
      <c r="D130">
        <v>131590</v>
      </c>
      <c r="E130">
        <v>32081</v>
      </c>
      <c r="F130">
        <v>972</v>
      </c>
      <c r="G130">
        <v>123943</v>
      </c>
      <c r="H130" t="s">
        <v>34</v>
      </c>
      <c r="I130" t="s">
        <v>26</v>
      </c>
      <c r="J130" t="s">
        <v>29</v>
      </c>
      <c r="K130" t="s">
        <v>35</v>
      </c>
      <c r="L130" t="s">
        <v>135</v>
      </c>
      <c r="M130">
        <v>85.2</v>
      </c>
      <c r="N130">
        <v>97249</v>
      </c>
      <c r="O130">
        <f>YEAR(Table1[[#This Row],[Date]])</f>
        <v>2025</v>
      </c>
      <c r="P130" t="str">
        <f>TEXT(Table1[[#This Row],[Date]],"MMM")</f>
        <v>May</v>
      </c>
      <c r="Q130">
        <f>Table1[[#This Row],[Revenue]]-Table1[[#This Row],[Expenses]]</f>
        <v>99509</v>
      </c>
    </row>
    <row r="131" spans="1:17" x14ac:dyDescent="0.3">
      <c r="A131" s="2">
        <v>45787</v>
      </c>
      <c r="B131" t="s">
        <v>17</v>
      </c>
      <c r="C131" t="s">
        <v>33</v>
      </c>
      <c r="D131">
        <v>65744</v>
      </c>
      <c r="E131">
        <v>40246</v>
      </c>
      <c r="F131">
        <v>268</v>
      </c>
      <c r="G131">
        <v>60323</v>
      </c>
      <c r="H131" t="s">
        <v>34</v>
      </c>
      <c r="I131" t="s">
        <v>20</v>
      </c>
      <c r="J131" t="s">
        <v>21</v>
      </c>
      <c r="K131" t="s">
        <v>52</v>
      </c>
      <c r="L131" t="s">
        <v>70</v>
      </c>
      <c r="M131">
        <v>87.9</v>
      </c>
      <c r="N131">
        <v>24356</v>
      </c>
      <c r="O131">
        <f>YEAR(Table1[[#This Row],[Date]])</f>
        <v>2025</v>
      </c>
      <c r="P131" t="str">
        <f>TEXT(Table1[[#This Row],[Date]],"MMM")</f>
        <v>May</v>
      </c>
      <c r="Q131">
        <f>Table1[[#This Row],[Revenue]]-Table1[[#This Row],[Expenses]]</f>
        <v>25498</v>
      </c>
    </row>
    <row r="132" spans="1:17" x14ac:dyDescent="0.3">
      <c r="A132" s="2">
        <v>45788</v>
      </c>
      <c r="B132" t="s">
        <v>32</v>
      </c>
      <c r="C132" t="s">
        <v>41</v>
      </c>
      <c r="D132">
        <v>282867</v>
      </c>
      <c r="E132">
        <v>204239</v>
      </c>
      <c r="F132">
        <v>720</v>
      </c>
      <c r="G132">
        <v>258540</v>
      </c>
      <c r="H132" t="s">
        <v>34</v>
      </c>
      <c r="I132" t="s">
        <v>26</v>
      </c>
      <c r="J132" t="s">
        <v>21</v>
      </c>
      <c r="K132" t="s">
        <v>22</v>
      </c>
      <c r="L132" t="s">
        <v>148</v>
      </c>
      <c r="M132">
        <v>91.6</v>
      </c>
      <c r="N132">
        <v>70973</v>
      </c>
      <c r="O132">
        <f>YEAR(Table1[[#This Row],[Date]])</f>
        <v>2025</v>
      </c>
      <c r="P132" t="str">
        <f>TEXT(Table1[[#This Row],[Date]],"MMM")</f>
        <v>May</v>
      </c>
      <c r="Q132">
        <f>Table1[[#This Row],[Revenue]]-Table1[[#This Row],[Expenses]]</f>
        <v>78628</v>
      </c>
    </row>
    <row r="133" spans="1:17" x14ac:dyDescent="0.3">
      <c r="A133" s="2">
        <v>45789</v>
      </c>
      <c r="B133" t="s">
        <v>32</v>
      </c>
      <c r="C133" t="s">
        <v>41</v>
      </c>
      <c r="D133">
        <v>240897</v>
      </c>
      <c r="E133">
        <v>159102</v>
      </c>
      <c r="F133">
        <v>639</v>
      </c>
      <c r="G133">
        <v>224031</v>
      </c>
      <c r="H133" t="s">
        <v>25</v>
      </c>
      <c r="I133" t="s">
        <v>26</v>
      </c>
      <c r="J133" t="s">
        <v>51</v>
      </c>
      <c r="K133" t="s">
        <v>35</v>
      </c>
      <c r="L133" t="s">
        <v>143</v>
      </c>
      <c r="M133">
        <v>81.8</v>
      </c>
      <c r="N133">
        <v>74038</v>
      </c>
      <c r="O133">
        <f>YEAR(Table1[[#This Row],[Date]])</f>
        <v>2025</v>
      </c>
      <c r="P133" t="str">
        <f>TEXT(Table1[[#This Row],[Date]],"MMM")</f>
        <v>May</v>
      </c>
      <c r="Q133">
        <f>Table1[[#This Row],[Revenue]]-Table1[[#This Row],[Expenses]]</f>
        <v>81795</v>
      </c>
    </row>
    <row r="134" spans="1:17" x14ac:dyDescent="0.3">
      <c r="A134" s="2">
        <v>45790</v>
      </c>
      <c r="B134" t="s">
        <v>32</v>
      </c>
      <c r="C134" t="s">
        <v>48</v>
      </c>
      <c r="D134">
        <v>193894</v>
      </c>
      <c r="E134">
        <v>139211</v>
      </c>
      <c r="F134">
        <v>392</v>
      </c>
      <c r="G134">
        <v>189565</v>
      </c>
      <c r="H134" t="s">
        <v>34</v>
      </c>
      <c r="I134" t="s">
        <v>20</v>
      </c>
      <c r="J134" t="s">
        <v>21</v>
      </c>
      <c r="K134" t="s">
        <v>49</v>
      </c>
      <c r="L134" t="s">
        <v>149</v>
      </c>
      <c r="M134">
        <v>76.599999999999994</v>
      </c>
      <c r="N134">
        <v>54611</v>
      </c>
      <c r="O134">
        <f>YEAR(Table1[[#This Row],[Date]])</f>
        <v>2025</v>
      </c>
      <c r="P134" t="str">
        <f>TEXT(Table1[[#This Row],[Date]],"MMM")</f>
        <v>May</v>
      </c>
      <c r="Q134">
        <f>Table1[[#This Row],[Revenue]]-Table1[[#This Row],[Expenses]]</f>
        <v>54683</v>
      </c>
    </row>
    <row r="135" spans="1:17" x14ac:dyDescent="0.3">
      <c r="A135" s="2">
        <v>45791</v>
      </c>
      <c r="B135" t="s">
        <v>45</v>
      </c>
      <c r="C135" t="s">
        <v>33</v>
      </c>
      <c r="D135">
        <v>167304</v>
      </c>
      <c r="E135">
        <v>107729</v>
      </c>
      <c r="F135">
        <v>1348</v>
      </c>
      <c r="G135">
        <v>175843</v>
      </c>
      <c r="H135" t="s">
        <v>54</v>
      </c>
      <c r="I135" t="s">
        <v>37</v>
      </c>
      <c r="J135" t="s">
        <v>29</v>
      </c>
      <c r="K135" t="s">
        <v>35</v>
      </c>
      <c r="L135" t="s">
        <v>150</v>
      </c>
      <c r="M135">
        <v>92.5</v>
      </c>
      <c r="N135">
        <v>55472</v>
      </c>
      <c r="O135">
        <f>YEAR(Table1[[#This Row],[Date]])</f>
        <v>2025</v>
      </c>
      <c r="P135" t="str">
        <f>TEXT(Table1[[#This Row],[Date]],"MMM")</f>
        <v>May</v>
      </c>
      <c r="Q135">
        <f>Table1[[#This Row],[Revenue]]-Table1[[#This Row],[Expenses]]</f>
        <v>59575</v>
      </c>
    </row>
    <row r="136" spans="1:17" x14ac:dyDescent="0.3">
      <c r="A136" s="2">
        <v>45792</v>
      </c>
      <c r="B136" t="s">
        <v>28</v>
      </c>
      <c r="C136" t="s">
        <v>48</v>
      </c>
      <c r="D136">
        <v>183379</v>
      </c>
      <c r="E136">
        <v>80541</v>
      </c>
      <c r="F136">
        <v>435</v>
      </c>
      <c r="G136">
        <v>174710</v>
      </c>
      <c r="H136" t="s">
        <v>34</v>
      </c>
      <c r="I136" t="s">
        <v>37</v>
      </c>
      <c r="J136" t="s">
        <v>29</v>
      </c>
      <c r="K136" t="s">
        <v>24</v>
      </c>
      <c r="L136" t="s">
        <v>151</v>
      </c>
      <c r="M136">
        <v>90.1</v>
      </c>
      <c r="N136">
        <v>100227</v>
      </c>
      <c r="O136">
        <f>YEAR(Table1[[#This Row],[Date]])</f>
        <v>2025</v>
      </c>
      <c r="P136" t="str">
        <f>TEXT(Table1[[#This Row],[Date]],"MMM")</f>
        <v>May</v>
      </c>
      <c r="Q136">
        <f>Table1[[#This Row],[Revenue]]-Table1[[#This Row],[Expenses]]</f>
        <v>102838</v>
      </c>
    </row>
    <row r="137" spans="1:17" x14ac:dyDescent="0.3">
      <c r="A137" s="2">
        <v>45793</v>
      </c>
      <c r="B137" t="s">
        <v>32</v>
      </c>
      <c r="C137" t="s">
        <v>48</v>
      </c>
      <c r="D137">
        <v>143612</v>
      </c>
      <c r="E137">
        <v>46267</v>
      </c>
      <c r="F137">
        <v>631</v>
      </c>
      <c r="G137">
        <v>132409</v>
      </c>
      <c r="H137" t="s">
        <v>54</v>
      </c>
      <c r="I137" t="s">
        <v>26</v>
      </c>
      <c r="J137" t="s">
        <v>42</v>
      </c>
      <c r="K137" t="s">
        <v>30</v>
      </c>
      <c r="L137" t="s">
        <v>152</v>
      </c>
      <c r="M137">
        <v>86.4</v>
      </c>
      <c r="N137">
        <v>99103</v>
      </c>
      <c r="O137">
        <f>YEAR(Table1[[#This Row],[Date]])</f>
        <v>2025</v>
      </c>
      <c r="P137" t="str">
        <f>TEXT(Table1[[#This Row],[Date]],"MMM")</f>
        <v>May</v>
      </c>
      <c r="Q137">
        <f>Table1[[#This Row],[Revenue]]-Table1[[#This Row],[Expenses]]</f>
        <v>97345</v>
      </c>
    </row>
    <row r="138" spans="1:17" x14ac:dyDescent="0.3">
      <c r="A138" s="2">
        <v>45794</v>
      </c>
      <c r="B138" t="s">
        <v>32</v>
      </c>
      <c r="C138" t="s">
        <v>33</v>
      </c>
      <c r="D138">
        <v>204328</v>
      </c>
      <c r="E138">
        <v>131007</v>
      </c>
      <c r="F138">
        <v>1255</v>
      </c>
      <c r="G138">
        <v>216763</v>
      </c>
      <c r="H138" t="s">
        <v>25</v>
      </c>
      <c r="I138" t="s">
        <v>37</v>
      </c>
      <c r="J138" t="s">
        <v>21</v>
      </c>
      <c r="K138" t="s">
        <v>46</v>
      </c>
      <c r="L138" t="s">
        <v>153</v>
      </c>
      <c r="M138">
        <v>83.5</v>
      </c>
      <c r="N138">
        <v>72977</v>
      </c>
      <c r="O138">
        <f>YEAR(Table1[[#This Row],[Date]])</f>
        <v>2025</v>
      </c>
      <c r="P138" t="str">
        <f>TEXT(Table1[[#This Row],[Date]],"MMM")</f>
        <v>May</v>
      </c>
      <c r="Q138">
        <f>Table1[[#This Row],[Revenue]]-Table1[[#This Row],[Expenses]]</f>
        <v>73321</v>
      </c>
    </row>
    <row r="139" spans="1:17" x14ac:dyDescent="0.3">
      <c r="A139" s="2">
        <v>45795</v>
      </c>
      <c r="B139" t="s">
        <v>17</v>
      </c>
      <c r="C139" t="s">
        <v>48</v>
      </c>
      <c r="D139">
        <v>66573</v>
      </c>
      <c r="E139">
        <v>33716</v>
      </c>
      <c r="F139">
        <v>375</v>
      </c>
      <c r="G139">
        <v>59933</v>
      </c>
      <c r="H139" t="s">
        <v>54</v>
      </c>
      <c r="I139" t="s">
        <v>20</v>
      </c>
      <c r="J139" t="s">
        <v>29</v>
      </c>
      <c r="K139" t="s">
        <v>49</v>
      </c>
      <c r="L139" t="s">
        <v>154</v>
      </c>
      <c r="M139">
        <v>88.6</v>
      </c>
      <c r="N139">
        <v>35829</v>
      </c>
      <c r="O139">
        <f>YEAR(Table1[[#This Row],[Date]])</f>
        <v>2025</v>
      </c>
      <c r="P139" t="str">
        <f>TEXT(Table1[[#This Row],[Date]],"MMM")</f>
        <v>May</v>
      </c>
      <c r="Q139">
        <f>Table1[[#This Row],[Revenue]]-Table1[[#This Row],[Expenses]]</f>
        <v>32857</v>
      </c>
    </row>
    <row r="140" spans="1:17" x14ac:dyDescent="0.3">
      <c r="A140" s="2">
        <v>45796</v>
      </c>
      <c r="B140" t="s">
        <v>32</v>
      </c>
      <c r="C140" t="s">
        <v>18</v>
      </c>
      <c r="D140">
        <v>284175</v>
      </c>
      <c r="E140">
        <v>110579</v>
      </c>
      <c r="F140">
        <v>522</v>
      </c>
      <c r="G140">
        <v>269921</v>
      </c>
      <c r="H140" t="s">
        <v>54</v>
      </c>
      <c r="I140" t="s">
        <v>26</v>
      </c>
      <c r="J140" t="s">
        <v>3</v>
      </c>
      <c r="K140" t="s">
        <v>24</v>
      </c>
      <c r="L140" t="s">
        <v>155</v>
      </c>
      <c r="M140">
        <v>90.1</v>
      </c>
      <c r="N140">
        <v>185451</v>
      </c>
      <c r="O140">
        <f>YEAR(Table1[[#This Row],[Date]])</f>
        <v>2025</v>
      </c>
      <c r="P140" t="str">
        <f>TEXT(Table1[[#This Row],[Date]],"MMM")</f>
        <v>May</v>
      </c>
      <c r="Q140">
        <f>Table1[[#This Row],[Revenue]]-Table1[[#This Row],[Expenses]]</f>
        <v>173596</v>
      </c>
    </row>
    <row r="141" spans="1:17" x14ac:dyDescent="0.3">
      <c r="A141" s="2">
        <v>45797</v>
      </c>
      <c r="B141" t="s">
        <v>45</v>
      </c>
      <c r="C141" t="s">
        <v>33</v>
      </c>
      <c r="D141">
        <v>51509</v>
      </c>
      <c r="E141">
        <v>40673</v>
      </c>
      <c r="F141">
        <v>1450</v>
      </c>
      <c r="G141">
        <v>47175</v>
      </c>
      <c r="H141" t="s">
        <v>19</v>
      </c>
      <c r="I141" t="s">
        <v>20</v>
      </c>
      <c r="J141" t="s">
        <v>29</v>
      </c>
      <c r="K141" t="s">
        <v>43</v>
      </c>
      <c r="L141" t="s">
        <v>156</v>
      </c>
      <c r="M141">
        <v>88.9</v>
      </c>
      <c r="N141">
        <v>10005</v>
      </c>
      <c r="O141">
        <f>YEAR(Table1[[#This Row],[Date]])</f>
        <v>2025</v>
      </c>
      <c r="P141" t="str">
        <f>TEXT(Table1[[#This Row],[Date]],"MMM")</f>
        <v>May</v>
      </c>
      <c r="Q141">
        <f>Table1[[#This Row],[Revenue]]-Table1[[#This Row],[Expenses]]</f>
        <v>10836</v>
      </c>
    </row>
    <row r="142" spans="1:17" x14ac:dyDescent="0.3">
      <c r="A142" s="2">
        <v>45798</v>
      </c>
      <c r="B142" t="s">
        <v>45</v>
      </c>
      <c r="C142" t="s">
        <v>41</v>
      </c>
      <c r="D142">
        <v>241688</v>
      </c>
      <c r="E142">
        <v>135777</v>
      </c>
      <c r="F142">
        <v>1206</v>
      </c>
      <c r="G142">
        <v>219033</v>
      </c>
      <c r="H142" t="s">
        <v>34</v>
      </c>
      <c r="I142" t="s">
        <v>37</v>
      </c>
      <c r="J142" t="s">
        <v>3</v>
      </c>
      <c r="K142" t="s">
        <v>35</v>
      </c>
      <c r="L142" t="s">
        <v>157</v>
      </c>
      <c r="M142">
        <v>98.5</v>
      </c>
      <c r="N142">
        <v>106572</v>
      </c>
      <c r="O142">
        <f>YEAR(Table1[[#This Row],[Date]])</f>
        <v>2025</v>
      </c>
      <c r="P142" t="str">
        <f>TEXT(Table1[[#This Row],[Date]],"MMM")</f>
        <v>May</v>
      </c>
      <c r="Q142">
        <f>Table1[[#This Row],[Revenue]]-Table1[[#This Row],[Expenses]]</f>
        <v>105911</v>
      </c>
    </row>
    <row r="143" spans="1:17" x14ac:dyDescent="0.3">
      <c r="A143" s="2">
        <v>45799</v>
      </c>
      <c r="B143" t="s">
        <v>32</v>
      </c>
      <c r="C143" t="s">
        <v>33</v>
      </c>
      <c r="D143">
        <v>226647</v>
      </c>
      <c r="E143">
        <v>134442</v>
      </c>
      <c r="F143">
        <v>657</v>
      </c>
      <c r="G143">
        <v>238683</v>
      </c>
      <c r="H143" t="s">
        <v>58</v>
      </c>
      <c r="I143" t="s">
        <v>37</v>
      </c>
      <c r="J143" t="s">
        <v>3</v>
      </c>
      <c r="K143" t="s">
        <v>24</v>
      </c>
      <c r="L143" t="s">
        <v>158</v>
      </c>
      <c r="M143">
        <v>75.400000000000006</v>
      </c>
      <c r="N143">
        <v>101208</v>
      </c>
      <c r="O143">
        <f>YEAR(Table1[[#This Row],[Date]])</f>
        <v>2025</v>
      </c>
      <c r="P143" t="str">
        <f>TEXT(Table1[[#This Row],[Date]],"MMM")</f>
        <v>May</v>
      </c>
      <c r="Q143">
        <f>Table1[[#This Row],[Revenue]]-Table1[[#This Row],[Expenses]]</f>
        <v>92205</v>
      </c>
    </row>
    <row r="144" spans="1:17" x14ac:dyDescent="0.3">
      <c r="A144" s="2">
        <v>45800</v>
      </c>
      <c r="B144" t="s">
        <v>32</v>
      </c>
      <c r="C144" t="s">
        <v>48</v>
      </c>
      <c r="D144">
        <v>101497</v>
      </c>
      <c r="E144">
        <v>33496</v>
      </c>
      <c r="F144">
        <v>961</v>
      </c>
      <c r="G144">
        <v>95436</v>
      </c>
      <c r="H144" t="s">
        <v>54</v>
      </c>
      <c r="I144" t="s">
        <v>26</v>
      </c>
      <c r="J144" t="s">
        <v>29</v>
      </c>
      <c r="K144" t="s">
        <v>49</v>
      </c>
      <c r="L144" t="s">
        <v>159</v>
      </c>
      <c r="M144">
        <v>93.2</v>
      </c>
      <c r="N144">
        <v>71040</v>
      </c>
      <c r="O144">
        <f>YEAR(Table1[[#This Row],[Date]])</f>
        <v>2025</v>
      </c>
      <c r="P144" t="str">
        <f>TEXT(Table1[[#This Row],[Date]],"MMM")</f>
        <v>May</v>
      </c>
      <c r="Q144">
        <f>Table1[[#This Row],[Revenue]]-Table1[[#This Row],[Expenses]]</f>
        <v>68001</v>
      </c>
    </row>
    <row r="145" spans="1:17" x14ac:dyDescent="0.3">
      <c r="A145" s="2">
        <v>45801</v>
      </c>
      <c r="B145" t="s">
        <v>28</v>
      </c>
      <c r="C145" t="s">
        <v>24</v>
      </c>
      <c r="D145">
        <v>296999</v>
      </c>
      <c r="E145">
        <v>216591</v>
      </c>
      <c r="F145">
        <v>1401</v>
      </c>
      <c r="G145">
        <v>285030</v>
      </c>
      <c r="H145" t="s">
        <v>54</v>
      </c>
      <c r="I145" t="s">
        <v>26</v>
      </c>
      <c r="J145" t="s">
        <v>21</v>
      </c>
      <c r="K145" t="s">
        <v>49</v>
      </c>
      <c r="L145" t="s">
        <v>138</v>
      </c>
      <c r="M145">
        <v>80.599999999999994</v>
      </c>
      <c r="N145">
        <v>74048</v>
      </c>
      <c r="O145">
        <f>YEAR(Table1[[#This Row],[Date]])</f>
        <v>2025</v>
      </c>
      <c r="P145" t="str">
        <f>TEXT(Table1[[#This Row],[Date]],"MMM")</f>
        <v>May</v>
      </c>
      <c r="Q145">
        <f>Table1[[#This Row],[Revenue]]-Table1[[#This Row],[Expenses]]</f>
        <v>80408</v>
      </c>
    </row>
    <row r="146" spans="1:17" x14ac:dyDescent="0.3">
      <c r="A146" s="2">
        <v>45802</v>
      </c>
      <c r="B146" t="s">
        <v>32</v>
      </c>
      <c r="C146" t="s">
        <v>33</v>
      </c>
      <c r="D146">
        <v>183584</v>
      </c>
      <c r="E146">
        <v>105262</v>
      </c>
      <c r="F146">
        <v>681</v>
      </c>
      <c r="G146">
        <v>188590</v>
      </c>
      <c r="H146" t="s">
        <v>54</v>
      </c>
      <c r="I146" t="s">
        <v>26</v>
      </c>
      <c r="J146" t="s">
        <v>3</v>
      </c>
      <c r="K146" t="s">
        <v>43</v>
      </c>
      <c r="L146" t="s">
        <v>160</v>
      </c>
      <c r="M146">
        <v>96.6</v>
      </c>
      <c r="N146">
        <v>72193</v>
      </c>
      <c r="O146">
        <f>YEAR(Table1[[#This Row],[Date]])</f>
        <v>2025</v>
      </c>
      <c r="P146" t="str">
        <f>TEXT(Table1[[#This Row],[Date]],"MMM")</f>
        <v>May</v>
      </c>
      <c r="Q146">
        <f>Table1[[#This Row],[Revenue]]-Table1[[#This Row],[Expenses]]</f>
        <v>78322</v>
      </c>
    </row>
    <row r="147" spans="1:17" x14ac:dyDescent="0.3">
      <c r="A147" s="2">
        <v>45803</v>
      </c>
      <c r="B147" t="s">
        <v>17</v>
      </c>
      <c r="C147" t="s">
        <v>18</v>
      </c>
      <c r="D147">
        <v>103411</v>
      </c>
      <c r="E147">
        <v>49235</v>
      </c>
      <c r="F147">
        <v>439</v>
      </c>
      <c r="G147">
        <v>97902</v>
      </c>
      <c r="H147" t="s">
        <v>25</v>
      </c>
      <c r="I147" t="s">
        <v>26</v>
      </c>
      <c r="J147" t="s">
        <v>3</v>
      </c>
      <c r="K147" t="s">
        <v>49</v>
      </c>
      <c r="L147" t="s">
        <v>161</v>
      </c>
      <c r="M147">
        <v>81.2</v>
      </c>
      <c r="N147">
        <v>51344</v>
      </c>
      <c r="O147">
        <f>YEAR(Table1[[#This Row],[Date]])</f>
        <v>2025</v>
      </c>
      <c r="P147" t="str">
        <f>TEXT(Table1[[#This Row],[Date]],"MMM")</f>
        <v>May</v>
      </c>
      <c r="Q147">
        <f>Table1[[#This Row],[Revenue]]-Table1[[#This Row],[Expenses]]</f>
        <v>54176</v>
      </c>
    </row>
    <row r="148" spans="1:17" x14ac:dyDescent="0.3">
      <c r="A148" s="2">
        <v>45804</v>
      </c>
      <c r="B148" t="s">
        <v>28</v>
      </c>
      <c r="C148" t="s">
        <v>24</v>
      </c>
      <c r="D148">
        <v>127997</v>
      </c>
      <c r="E148">
        <v>81072</v>
      </c>
      <c r="F148">
        <v>840</v>
      </c>
      <c r="G148">
        <v>127469</v>
      </c>
      <c r="H148" t="s">
        <v>34</v>
      </c>
      <c r="I148" t="s">
        <v>37</v>
      </c>
      <c r="J148" t="s">
        <v>51</v>
      </c>
      <c r="K148" t="s">
        <v>30</v>
      </c>
      <c r="L148" t="s">
        <v>162</v>
      </c>
      <c r="M148">
        <v>92.5</v>
      </c>
      <c r="N148">
        <v>43443</v>
      </c>
      <c r="O148">
        <f>YEAR(Table1[[#This Row],[Date]])</f>
        <v>2025</v>
      </c>
      <c r="P148" t="str">
        <f>TEXT(Table1[[#This Row],[Date]],"MMM")</f>
        <v>May</v>
      </c>
      <c r="Q148">
        <f>Table1[[#This Row],[Revenue]]-Table1[[#This Row],[Expenses]]</f>
        <v>46925</v>
      </c>
    </row>
    <row r="149" spans="1:17" x14ac:dyDescent="0.3">
      <c r="A149" s="2">
        <v>45805</v>
      </c>
      <c r="B149" t="s">
        <v>32</v>
      </c>
      <c r="C149" t="s">
        <v>18</v>
      </c>
      <c r="D149">
        <v>198642</v>
      </c>
      <c r="E149">
        <v>137856</v>
      </c>
      <c r="F149">
        <v>229</v>
      </c>
      <c r="G149">
        <v>214088</v>
      </c>
      <c r="H149" t="s">
        <v>19</v>
      </c>
      <c r="I149" t="s">
        <v>37</v>
      </c>
      <c r="J149" t="s">
        <v>3</v>
      </c>
      <c r="K149" t="s">
        <v>30</v>
      </c>
      <c r="L149" t="s">
        <v>163</v>
      </c>
      <c r="M149">
        <v>96.8</v>
      </c>
      <c r="N149">
        <v>59625</v>
      </c>
      <c r="O149">
        <f>YEAR(Table1[[#This Row],[Date]])</f>
        <v>2025</v>
      </c>
      <c r="P149" t="str">
        <f>TEXT(Table1[[#This Row],[Date]],"MMM")</f>
        <v>May</v>
      </c>
      <c r="Q149">
        <f>Table1[[#This Row],[Revenue]]-Table1[[#This Row],[Expenses]]</f>
        <v>60786</v>
      </c>
    </row>
    <row r="150" spans="1:17" x14ac:dyDescent="0.3">
      <c r="A150" s="2">
        <v>45806</v>
      </c>
      <c r="B150" t="s">
        <v>32</v>
      </c>
      <c r="C150" t="s">
        <v>18</v>
      </c>
      <c r="D150">
        <v>63520</v>
      </c>
      <c r="E150">
        <v>39588</v>
      </c>
      <c r="F150">
        <v>678</v>
      </c>
      <c r="G150">
        <v>58495</v>
      </c>
      <c r="H150" t="s">
        <v>34</v>
      </c>
      <c r="I150" t="s">
        <v>26</v>
      </c>
      <c r="J150" t="s">
        <v>42</v>
      </c>
      <c r="K150" t="s">
        <v>24</v>
      </c>
      <c r="L150" t="s">
        <v>164</v>
      </c>
      <c r="M150">
        <v>76.3</v>
      </c>
      <c r="N150">
        <v>23772</v>
      </c>
      <c r="O150">
        <f>YEAR(Table1[[#This Row],[Date]])</f>
        <v>2025</v>
      </c>
      <c r="P150" t="str">
        <f>TEXT(Table1[[#This Row],[Date]],"MMM")</f>
        <v>May</v>
      </c>
      <c r="Q150">
        <f>Table1[[#This Row],[Revenue]]-Table1[[#This Row],[Expenses]]</f>
        <v>23932</v>
      </c>
    </row>
    <row r="151" spans="1:17" x14ac:dyDescent="0.3">
      <c r="A151" s="2">
        <v>45807</v>
      </c>
      <c r="B151" t="s">
        <v>28</v>
      </c>
      <c r="C151" t="s">
        <v>33</v>
      </c>
      <c r="D151">
        <v>146589</v>
      </c>
      <c r="E151">
        <v>99368</v>
      </c>
      <c r="F151">
        <v>452</v>
      </c>
      <c r="G151">
        <v>141846</v>
      </c>
      <c r="H151" t="s">
        <v>19</v>
      </c>
      <c r="I151" t="s">
        <v>20</v>
      </c>
      <c r="J151" t="s">
        <v>3</v>
      </c>
      <c r="K151" t="s">
        <v>52</v>
      </c>
      <c r="L151" t="s">
        <v>165</v>
      </c>
      <c r="M151">
        <v>91.4</v>
      </c>
      <c r="N151">
        <v>44967</v>
      </c>
      <c r="O151">
        <f>YEAR(Table1[[#This Row],[Date]])</f>
        <v>2025</v>
      </c>
      <c r="P151" t="str">
        <f>TEXT(Table1[[#This Row],[Date]],"MMM")</f>
        <v>May</v>
      </c>
      <c r="Q151">
        <f>Table1[[#This Row],[Revenue]]-Table1[[#This Row],[Expenses]]</f>
        <v>47221</v>
      </c>
    </row>
    <row r="152" spans="1:17" x14ac:dyDescent="0.3">
      <c r="A152" s="2">
        <v>45808</v>
      </c>
      <c r="B152" t="s">
        <v>32</v>
      </c>
      <c r="C152" t="s">
        <v>18</v>
      </c>
      <c r="D152">
        <v>280325</v>
      </c>
      <c r="E152">
        <v>86300</v>
      </c>
      <c r="F152">
        <v>1429</v>
      </c>
      <c r="G152">
        <v>295359</v>
      </c>
      <c r="H152" t="s">
        <v>58</v>
      </c>
      <c r="I152" t="s">
        <v>37</v>
      </c>
      <c r="J152" t="s">
        <v>21</v>
      </c>
      <c r="K152" t="s">
        <v>49</v>
      </c>
      <c r="L152" t="s">
        <v>140</v>
      </c>
      <c r="M152">
        <v>78.8</v>
      </c>
      <c r="N152">
        <v>210393</v>
      </c>
      <c r="O152">
        <f>YEAR(Table1[[#This Row],[Date]])</f>
        <v>2025</v>
      </c>
      <c r="P152" t="str">
        <f>TEXT(Table1[[#This Row],[Date]],"MMM")</f>
        <v>May</v>
      </c>
      <c r="Q152">
        <f>Table1[[#This Row],[Revenue]]-Table1[[#This Row],[Expenses]]</f>
        <v>194025</v>
      </c>
    </row>
    <row r="153" spans="1:17" x14ac:dyDescent="0.3">
      <c r="A153" s="2">
        <v>45809</v>
      </c>
      <c r="B153" t="s">
        <v>17</v>
      </c>
      <c r="C153" t="s">
        <v>39</v>
      </c>
      <c r="D153">
        <v>146957</v>
      </c>
      <c r="E153">
        <v>66806</v>
      </c>
      <c r="F153">
        <v>943</v>
      </c>
      <c r="G153">
        <v>148256</v>
      </c>
      <c r="H153" t="s">
        <v>58</v>
      </c>
      <c r="I153" t="s">
        <v>37</v>
      </c>
      <c r="J153" t="s">
        <v>29</v>
      </c>
      <c r="K153" t="s">
        <v>30</v>
      </c>
      <c r="L153" t="s">
        <v>166</v>
      </c>
      <c r="M153">
        <v>93.7</v>
      </c>
      <c r="N153">
        <v>75088</v>
      </c>
      <c r="O153">
        <f>YEAR(Table1[[#This Row],[Date]])</f>
        <v>2025</v>
      </c>
      <c r="P153" t="str">
        <f>TEXT(Table1[[#This Row],[Date]],"MMM")</f>
        <v>Jun</v>
      </c>
      <c r="Q153">
        <f>Table1[[#This Row],[Revenue]]-Table1[[#This Row],[Expenses]]</f>
        <v>80151</v>
      </c>
    </row>
    <row r="154" spans="1:17" x14ac:dyDescent="0.3">
      <c r="A154" s="2">
        <v>45810</v>
      </c>
      <c r="B154" t="s">
        <v>45</v>
      </c>
      <c r="C154" t="s">
        <v>33</v>
      </c>
      <c r="D154">
        <v>243297</v>
      </c>
      <c r="E154">
        <v>84386</v>
      </c>
      <c r="F154">
        <v>1262</v>
      </c>
      <c r="G154">
        <v>221229</v>
      </c>
      <c r="H154" t="s">
        <v>25</v>
      </c>
      <c r="I154" t="s">
        <v>26</v>
      </c>
      <c r="J154" t="s">
        <v>29</v>
      </c>
      <c r="K154" t="s">
        <v>49</v>
      </c>
      <c r="L154" t="s">
        <v>167</v>
      </c>
      <c r="M154">
        <v>79.599999999999994</v>
      </c>
      <c r="N154">
        <v>152218</v>
      </c>
      <c r="O154">
        <f>YEAR(Table1[[#This Row],[Date]])</f>
        <v>2025</v>
      </c>
      <c r="P154" t="str">
        <f>TEXT(Table1[[#This Row],[Date]],"MMM")</f>
        <v>Jun</v>
      </c>
      <c r="Q154">
        <f>Table1[[#This Row],[Revenue]]-Table1[[#This Row],[Expenses]]</f>
        <v>158911</v>
      </c>
    </row>
    <row r="155" spans="1:17" x14ac:dyDescent="0.3">
      <c r="A155" s="2">
        <v>45811</v>
      </c>
      <c r="B155" t="s">
        <v>45</v>
      </c>
      <c r="C155" t="s">
        <v>48</v>
      </c>
      <c r="D155">
        <v>130992</v>
      </c>
      <c r="E155">
        <v>31304</v>
      </c>
      <c r="F155">
        <v>919</v>
      </c>
      <c r="G155">
        <v>122080</v>
      </c>
      <c r="H155" t="s">
        <v>58</v>
      </c>
      <c r="I155" t="s">
        <v>37</v>
      </c>
      <c r="J155" t="s">
        <v>42</v>
      </c>
      <c r="K155" t="s">
        <v>49</v>
      </c>
      <c r="L155" t="s">
        <v>103</v>
      </c>
      <c r="M155">
        <v>86.2</v>
      </c>
      <c r="N155">
        <v>104045</v>
      </c>
      <c r="O155">
        <f>YEAR(Table1[[#This Row],[Date]])</f>
        <v>2025</v>
      </c>
      <c r="P155" t="str">
        <f>TEXT(Table1[[#This Row],[Date]],"MMM")</f>
        <v>Jun</v>
      </c>
      <c r="Q155">
        <f>Table1[[#This Row],[Revenue]]-Table1[[#This Row],[Expenses]]</f>
        <v>99688</v>
      </c>
    </row>
    <row r="156" spans="1:17" x14ac:dyDescent="0.3">
      <c r="A156" s="2">
        <v>45812</v>
      </c>
      <c r="B156" t="s">
        <v>28</v>
      </c>
      <c r="C156" t="s">
        <v>39</v>
      </c>
      <c r="D156">
        <v>187291</v>
      </c>
      <c r="E156">
        <v>99203</v>
      </c>
      <c r="F156">
        <v>961</v>
      </c>
      <c r="G156">
        <v>169752</v>
      </c>
      <c r="H156" t="s">
        <v>25</v>
      </c>
      <c r="I156" t="s">
        <v>20</v>
      </c>
      <c r="J156" t="s">
        <v>29</v>
      </c>
      <c r="K156" t="s">
        <v>22</v>
      </c>
      <c r="L156" t="s">
        <v>168</v>
      </c>
      <c r="M156">
        <v>96.1</v>
      </c>
      <c r="N156">
        <v>79387</v>
      </c>
      <c r="O156">
        <f>YEAR(Table1[[#This Row],[Date]])</f>
        <v>2025</v>
      </c>
      <c r="P156" t="str">
        <f>TEXT(Table1[[#This Row],[Date]],"MMM")</f>
        <v>Jun</v>
      </c>
      <c r="Q156">
        <f>Table1[[#This Row],[Revenue]]-Table1[[#This Row],[Expenses]]</f>
        <v>88088</v>
      </c>
    </row>
    <row r="157" spans="1:17" x14ac:dyDescent="0.3">
      <c r="A157" s="2">
        <v>45813</v>
      </c>
      <c r="B157" t="s">
        <v>17</v>
      </c>
      <c r="C157" t="s">
        <v>39</v>
      </c>
      <c r="D157">
        <v>89196</v>
      </c>
      <c r="E157">
        <v>67455</v>
      </c>
      <c r="F157">
        <v>1407</v>
      </c>
      <c r="G157">
        <v>96220</v>
      </c>
      <c r="H157" t="s">
        <v>54</v>
      </c>
      <c r="I157" t="s">
        <v>26</v>
      </c>
      <c r="J157" t="s">
        <v>29</v>
      </c>
      <c r="K157" t="s">
        <v>46</v>
      </c>
      <c r="L157" t="s">
        <v>162</v>
      </c>
      <c r="M157">
        <v>98</v>
      </c>
      <c r="N157">
        <v>21363</v>
      </c>
      <c r="O157">
        <f>YEAR(Table1[[#This Row],[Date]])</f>
        <v>2025</v>
      </c>
      <c r="P157" t="str">
        <f>TEXT(Table1[[#This Row],[Date]],"MMM")</f>
        <v>Jun</v>
      </c>
      <c r="Q157">
        <f>Table1[[#This Row],[Revenue]]-Table1[[#This Row],[Expenses]]</f>
        <v>21741</v>
      </c>
    </row>
    <row r="158" spans="1:17" x14ac:dyDescent="0.3">
      <c r="A158" s="2">
        <v>45814</v>
      </c>
      <c r="B158" t="s">
        <v>45</v>
      </c>
      <c r="C158" t="s">
        <v>33</v>
      </c>
      <c r="D158">
        <v>58105</v>
      </c>
      <c r="E158">
        <v>40573</v>
      </c>
      <c r="F158">
        <v>549</v>
      </c>
      <c r="G158">
        <v>55241</v>
      </c>
      <c r="H158" t="s">
        <v>34</v>
      </c>
      <c r="I158" t="s">
        <v>37</v>
      </c>
      <c r="J158" t="s">
        <v>21</v>
      </c>
      <c r="K158" t="s">
        <v>71</v>
      </c>
      <c r="L158" t="s">
        <v>169</v>
      </c>
      <c r="M158">
        <v>83</v>
      </c>
      <c r="N158">
        <v>16495</v>
      </c>
      <c r="O158">
        <f>YEAR(Table1[[#This Row],[Date]])</f>
        <v>2025</v>
      </c>
      <c r="P158" t="str">
        <f>TEXT(Table1[[#This Row],[Date]],"MMM")</f>
        <v>Jun</v>
      </c>
      <c r="Q158">
        <f>Table1[[#This Row],[Revenue]]-Table1[[#This Row],[Expenses]]</f>
        <v>17532</v>
      </c>
    </row>
    <row r="159" spans="1:17" x14ac:dyDescent="0.3">
      <c r="A159" s="2">
        <v>45815</v>
      </c>
      <c r="B159" t="s">
        <v>45</v>
      </c>
      <c r="C159" t="s">
        <v>18</v>
      </c>
      <c r="D159">
        <v>123705</v>
      </c>
      <c r="E159">
        <v>55671</v>
      </c>
      <c r="F159">
        <v>720</v>
      </c>
      <c r="G159">
        <v>119267</v>
      </c>
      <c r="H159" t="s">
        <v>25</v>
      </c>
      <c r="I159" t="s">
        <v>37</v>
      </c>
      <c r="J159" t="s">
        <v>29</v>
      </c>
      <c r="K159" t="s">
        <v>49</v>
      </c>
      <c r="L159" t="s">
        <v>170</v>
      </c>
      <c r="M159">
        <v>96.9</v>
      </c>
      <c r="N159">
        <v>71003</v>
      </c>
      <c r="O159">
        <f>YEAR(Table1[[#This Row],[Date]])</f>
        <v>2025</v>
      </c>
      <c r="P159" t="str">
        <f>TEXT(Table1[[#This Row],[Date]],"MMM")</f>
        <v>Jun</v>
      </c>
      <c r="Q159">
        <f>Table1[[#This Row],[Revenue]]-Table1[[#This Row],[Expenses]]</f>
        <v>68034</v>
      </c>
    </row>
    <row r="160" spans="1:17" x14ac:dyDescent="0.3">
      <c r="A160" s="2">
        <v>45816</v>
      </c>
      <c r="B160" t="s">
        <v>28</v>
      </c>
      <c r="C160" t="s">
        <v>48</v>
      </c>
      <c r="D160">
        <v>124084</v>
      </c>
      <c r="E160">
        <v>77331</v>
      </c>
      <c r="F160">
        <v>1166</v>
      </c>
      <c r="G160">
        <v>125389</v>
      </c>
      <c r="H160" t="s">
        <v>19</v>
      </c>
      <c r="I160" t="s">
        <v>26</v>
      </c>
      <c r="J160" t="s">
        <v>51</v>
      </c>
      <c r="K160" t="s">
        <v>24</v>
      </c>
      <c r="L160" t="s">
        <v>67</v>
      </c>
      <c r="M160">
        <v>82.3</v>
      </c>
      <c r="N160">
        <v>45423</v>
      </c>
      <c r="O160">
        <f>YEAR(Table1[[#This Row],[Date]])</f>
        <v>2025</v>
      </c>
      <c r="P160" t="str">
        <f>TEXT(Table1[[#This Row],[Date]],"MMM")</f>
        <v>Jun</v>
      </c>
      <c r="Q160">
        <f>Table1[[#This Row],[Revenue]]-Table1[[#This Row],[Expenses]]</f>
        <v>46753</v>
      </c>
    </row>
    <row r="161" spans="1:17" x14ac:dyDescent="0.3">
      <c r="A161" s="2">
        <v>45817</v>
      </c>
      <c r="B161" t="s">
        <v>32</v>
      </c>
      <c r="C161" t="s">
        <v>48</v>
      </c>
      <c r="D161">
        <v>183673</v>
      </c>
      <c r="E161">
        <v>68018</v>
      </c>
      <c r="F161">
        <v>698</v>
      </c>
      <c r="G161">
        <v>165986</v>
      </c>
      <c r="H161" t="s">
        <v>54</v>
      </c>
      <c r="I161" t="s">
        <v>37</v>
      </c>
      <c r="J161" t="s">
        <v>51</v>
      </c>
      <c r="K161" t="s">
        <v>30</v>
      </c>
      <c r="L161" t="s">
        <v>171</v>
      </c>
      <c r="M161">
        <v>80.900000000000006</v>
      </c>
      <c r="N161">
        <v>120245</v>
      </c>
      <c r="O161">
        <f>YEAR(Table1[[#This Row],[Date]])</f>
        <v>2025</v>
      </c>
      <c r="P161" t="str">
        <f>TEXT(Table1[[#This Row],[Date]],"MMM")</f>
        <v>Jun</v>
      </c>
      <c r="Q161">
        <f>Table1[[#This Row],[Revenue]]-Table1[[#This Row],[Expenses]]</f>
        <v>115655</v>
      </c>
    </row>
    <row r="162" spans="1:17" x14ac:dyDescent="0.3">
      <c r="A162" s="2">
        <v>45818</v>
      </c>
      <c r="B162" t="s">
        <v>28</v>
      </c>
      <c r="C162" t="s">
        <v>18</v>
      </c>
      <c r="D162">
        <v>54030</v>
      </c>
      <c r="E162">
        <v>31656</v>
      </c>
      <c r="F162">
        <v>568</v>
      </c>
      <c r="G162">
        <v>50272</v>
      </c>
      <c r="H162" t="s">
        <v>54</v>
      </c>
      <c r="I162" t="s">
        <v>26</v>
      </c>
      <c r="J162" t="s">
        <v>29</v>
      </c>
      <c r="K162" t="s">
        <v>22</v>
      </c>
      <c r="L162" t="s">
        <v>172</v>
      </c>
      <c r="M162">
        <v>83.9</v>
      </c>
      <c r="N162">
        <v>22047</v>
      </c>
      <c r="O162">
        <f>YEAR(Table1[[#This Row],[Date]])</f>
        <v>2025</v>
      </c>
      <c r="P162" t="str">
        <f>TEXT(Table1[[#This Row],[Date]],"MMM")</f>
        <v>Jun</v>
      </c>
      <c r="Q162">
        <f>Table1[[#This Row],[Revenue]]-Table1[[#This Row],[Expenses]]</f>
        <v>22374</v>
      </c>
    </row>
    <row r="163" spans="1:17" x14ac:dyDescent="0.3">
      <c r="A163" s="2">
        <v>45819</v>
      </c>
      <c r="B163" t="s">
        <v>32</v>
      </c>
      <c r="C163" t="s">
        <v>33</v>
      </c>
      <c r="D163">
        <v>288225</v>
      </c>
      <c r="E163">
        <v>153883</v>
      </c>
      <c r="F163">
        <v>1083</v>
      </c>
      <c r="G163">
        <v>303069</v>
      </c>
      <c r="H163" t="s">
        <v>34</v>
      </c>
      <c r="I163" t="s">
        <v>26</v>
      </c>
      <c r="J163" t="s">
        <v>29</v>
      </c>
      <c r="K163" t="s">
        <v>35</v>
      </c>
      <c r="L163" t="s">
        <v>173</v>
      </c>
      <c r="M163">
        <v>95.9</v>
      </c>
      <c r="N163">
        <v>142846</v>
      </c>
      <c r="O163">
        <f>YEAR(Table1[[#This Row],[Date]])</f>
        <v>2025</v>
      </c>
      <c r="P163" t="str">
        <f>TEXT(Table1[[#This Row],[Date]],"MMM")</f>
        <v>Jun</v>
      </c>
      <c r="Q163">
        <f>Table1[[#This Row],[Revenue]]-Table1[[#This Row],[Expenses]]</f>
        <v>134342</v>
      </c>
    </row>
    <row r="164" spans="1:17" x14ac:dyDescent="0.3">
      <c r="A164" s="2">
        <v>45820</v>
      </c>
      <c r="B164" t="s">
        <v>45</v>
      </c>
      <c r="C164" t="s">
        <v>18</v>
      </c>
      <c r="D164">
        <v>237629</v>
      </c>
      <c r="E164">
        <v>50852</v>
      </c>
      <c r="F164">
        <v>1020</v>
      </c>
      <c r="G164">
        <v>248615</v>
      </c>
      <c r="H164" t="s">
        <v>58</v>
      </c>
      <c r="I164" t="s">
        <v>37</v>
      </c>
      <c r="J164" t="s">
        <v>51</v>
      </c>
      <c r="K164" t="s">
        <v>24</v>
      </c>
      <c r="L164" t="s">
        <v>174</v>
      </c>
      <c r="M164">
        <v>97.2</v>
      </c>
      <c r="N164">
        <v>174798</v>
      </c>
      <c r="O164">
        <f>YEAR(Table1[[#This Row],[Date]])</f>
        <v>2025</v>
      </c>
      <c r="P164" t="str">
        <f>TEXT(Table1[[#This Row],[Date]],"MMM")</f>
        <v>Jun</v>
      </c>
      <c r="Q164">
        <f>Table1[[#This Row],[Revenue]]-Table1[[#This Row],[Expenses]]</f>
        <v>186777</v>
      </c>
    </row>
    <row r="165" spans="1:17" x14ac:dyDescent="0.3">
      <c r="A165" s="2">
        <v>45821</v>
      </c>
      <c r="B165" t="s">
        <v>45</v>
      </c>
      <c r="C165" t="s">
        <v>41</v>
      </c>
      <c r="D165">
        <v>292878</v>
      </c>
      <c r="E165">
        <v>112759</v>
      </c>
      <c r="F165">
        <v>958</v>
      </c>
      <c r="G165">
        <v>291043</v>
      </c>
      <c r="H165" t="s">
        <v>19</v>
      </c>
      <c r="I165" t="s">
        <v>26</v>
      </c>
      <c r="J165" t="s">
        <v>21</v>
      </c>
      <c r="K165" t="s">
        <v>52</v>
      </c>
      <c r="L165" t="s">
        <v>67</v>
      </c>
      <c r="M165">
        <v>87.9</v>
      </c>
      <c r="N165">
        <v>162350</v>
      </c>
      <c r="O165">
        <f>YEAR(Table1[[#This Row],[Date]])</f>
        <v>2025</v>
      </c>
      <c r="P165" t="str">
        <f>TEXT(Table1[[#This Row],[Date]],"MMM")</f>
        <v>Jun</v>
      </c>
      <c r="Q165">
        <f>Table1[[#This Row],[Revenue]]-Table1[[#This Row],[Expenses]]</f>
        <v>180119</v>
      </c>
    </row>
    <row r="166" spans="1:17" x14ac:dyDescent="0.3">
      <c r="A166" s="2">
        <v>45822</v>
      </c>
      <c r="B166" t="s">
        <v>45</v>
      </c>
      <c r="C166" t="s">
        <v>39</v>
      </c>
      <c r="D166">
        <v>287617</v>
      </c>
      <c r="E166">
        <v>200409</v>
      </c>
      <c r="F166">
        <v>1084</v>
      </c>
      <c r="G166">
        <v>309962</v>
      </c>
      <c r="H166" t="s">
        <v>25</v>
      </c>
      <c r="I166" t="s">
        <v>20</v>
      </c>
      <c r="J166" t="s">
        <v>21</v>
      </c>
      <c r="K166" t="s">
        <v>43</v>
      </c>
      <c r="L166" t="s">
        <v>175</v>
      </c>
      <c r="M166">
        <v>92.1</v>
      </c>
      <c r="N166">
        <v>93768</v>
      </c>
      <c r="O166">
        <f>YEAR(Table1[[#This Row],[Date]])</f>
        <v>2025</v>
      </c>
      <c r="P166" t="str">
        <f>TEXT(Table1[[#This Row],[Date]],"MMM")</f>
        <v>Jun</v>
      </c>
      <c r="Q166">
        <f>Table1[[#This Row],[Revenue]]-Table1[[#This Row],[Expenses]]</f>
        <v>87208</v>
      </c>
    </row>
    <row r="167" spans="1:17" x14ac:dyDescent="0.3">
      <c r="A167" s="2">
        <v>45823</v>
      </c>
      <c r="B167" t="s">
        <v>32</v>
      </c>
      <c r="C167" t="s">
        <v>39</v>
      </c>
      <c r="D167">
        <v>174971</v>
      </c>
      <c r="E167">
        <v>137400</v>
      </c>
      <c r="F167">
        <v>740</v>
      </c>
      <c r="G167">
        <v>164694</v>
      </c>
      <c r="H167" t="s">
        <v>19</v>
      </c>
      <c r="I167" t="s">
        <v>37</v>
      </c>
      <c r="J167" t="s">
        <v>42</v>
      </c>
      <c r="K167" t="s">
        <v>71</v>
      </c>
      <c r="L167" t="s">
        <v>176</v>
      </c>
      <c r="M167">
        <v>86.4</v>
      </c>
      <c r="N167">
        <v>36757</v>
      </c>
      <c r="O167">
        <f>YEAR(Table1[[#This Row],[Date]])</f>
        <v>2025</v>
      </c>
      <c r="P167" t="str">
        <f>TEXT(Table1[[#This Row],[Date]],"MMM")</f>
        <v>Jun</v>
      </c>
      <c r="Q167">
        <f>Table1[[#This Row],[Revenue]]-Table1[[#This Row],[Expenses]]</f>
        <v>37571</v>
      </c>
    </row>
    <row r="168" spans="1:17" x14ac:dyDescent="0.3">
      <c r="A168" s="2">
        <v>45824</v>
      </c>
      <c r="B168" t="s">
        <v>28</v>
      </c>
      <c r="C168" t="s">
        <v>18</v>
      </c>
      <c r="D168">
        <v>118935</v>
      </c>
      <c r="E168">
        <v>36988</v>
      </c>
      <c r="F168">
        <v>1223</v>
      </c>
      <c r="G168">
        <v>128057</v>
      </c>
      <c r="H168" t="s">
        <v>25</v>
      </c>
      <c r="I168" t="s">
        <v>37</v>
      </c>
      <c r="J168" t="s">
        <v>42</v>
      </c>
      <c r="K168" t="s">
        <v>49</v>
      </c>
      <c r="L168" t="s">
        <v>177</v>
      </c>
      <c r="M168">
        <v>95</v>
      </c>
      <c r="N168">
        <v>85237</v>
      </c>
      <c r="O168">
        <f>YEAR(Table1[[#This Row],[Date]])</f>
        <v>2025</v>
      </c>
      <c r="P168" t="str">
        <f>TEXT(Table1[[#This Row],[Date]],"MMM")</f>
        <v>Jun</v>
      </c>
      <c r="Q168">
        <f>Table1[[#This Row],[Revenue]]-Table1[[#This Row],[Expenses]]</f>
        <v>81947</v>
      </c>
    </row>
    <row r="169" spans="1:17" x14ac:dyDescent="0.3">
      <c r="A169" s="2">
        <v>45825</v>
      </c>
      <c r="B169" t="s">
        <v>17</v>
      </c>
      <c r="C169" t="s">
        <v>18</v>
      </c>
      <c r="D169">
        <v>88680</v>
      </c>
      <c r="E169">
        <v>70163</v>
      </c>
      <c r="F169">
        <v>970</v>
      </c>
      <c r="G169">
        <v>87687</v>
      </c>
      <c r="H169" t="s">
        <v>34</v>
      </c>
      <c r="I169" t="s">
        <v>37</v>
      </c>
      <c r="J169" t="s">
        <v>51</v>
      </c>
      <c r="K169" t="s">
        <v>49</v>
      </c>
      <c r="L169" t="s">
        <v>178</v>
      </c>
      <c r="M169">
        <v>80</v>
      </c>
      <c r="N169">
        <v>19596</v>
      </c>
      <c r="O169">
        <f>YEAR(Table1[[#This Row],[Date]])</f>
        <v>2025</v>
      </c>
      <c r="P169" t="str">
        <f>TEXT(Table1[[#This Row],[Date]],"MMM")</f>
        <v>Jun</v>
      </c>
      <c r="Q169">
        <f>Table1[[#This Row],[Revenue]]-Table1[[#This Row],[Expenses]]</f>
        <v>18517</v>
      </c>
    </row>
    <row r="170" spans="1:17" x14ac:dyDescent="0.3">
      <c r="A170" s="2">
        <v>45826</v>
      </c>
      <c r="B170" t="s">
        <v>45</v>
      </c>
      <c r="C170" t="s">
        <v>24</v>
      </c>
      <c r="D170">
        <v>224023</v>
      </c>
      <c r="E170">
        <v>145634</v>
      </c>
      <c r="F170">
        <v>222</v>
      </c>
      <c r="G170">
        <v>237552</v>
      </c>
      <c r="H170" t="s">
        <v>58</v>
      </c>
      <c r="I170" t="s">
        <v>20</v>
      </c>
      <c r="J170" t="s">
        <v>21</v>
      </c>
      <c r="K170" t="s">
        <v>43</v>
      </c>
      <c r="L170" t="s">
        <v>179</v>
      </c>
      <c r="M170">
        <v>79.2</v>
      </c>
      <c r="N170">
        <v>84877</v>
      </c>
      <c r="O170">
        <f>YEAR(Table1[[#This Row],[Date]])</f>
        <v>2025</v>
      </c>
      <c r="P170" t="str">
        <f>TEXT(Table1[[#This Row],[Date]],"MMM")</f>
        <v>Jun</v>
      </c>
      <c r="Q170">
        <f>Table1[[#This Row],[Revenue]]-Table1[[#This Row],[Expenses]]</f>
        <v>78389</v>
      </c>
    </row>
    <row r="171" spans="1:17" x14ac:dyDescent="0.3">
      <c r="A171" s="2">
        <v>45827</v>
      </c>
      <c r="B171" t="s">
        <v>45</v>
      </c>
      <c r="C171" t="s">
        <v>41</v>
      </c>
      <c r="D171">
        <v>256838</v>
      </c>
      <c r="E171">
        <v>51551</v>
      </c>
      <c r="F171">
        <v>323</v>
      </c>
      <c r="G171">
        <v>252933</v>
      </c>
      <c r="H171" t="s">
        <v>58</v>
      </c>
      <c r="I171" t="s">
        <v>37</v>
      </c>
      <c r="J171" t="s">
        <v>3</v>
      </c>
      <c r="K171" t="s">
        <v>49</v>
      </c>
      <c r="L171" t="s">
        <v>132</v>
      </c>
      <c r="M171">
        <v>90</v>
      </c>
      <c r="N171">
        <v>193632</v>
      </c>
      <c r="O171">
        <f>YEAR(Table1[[#This Row],[Date]])</f>
        <v>2025</v>
      </c>
      <c r="P171" t="str">
        <f>TEXT(Table1[[#This Row],[Date]],"MMM")</f>
        <v>Jun</v>
      </c>
      <c r="Q171">
        <f>Table1[[#This Row],[Revenue]]-Table1[[#This Row],[Expenses]]</f>
        <v>205287</v>
      </c>
    </row>
    <row r="172" spans="1:17" x14ac:dyDescent="0.3">
      <c r="A172" s="2">
        <v>45828</v>
      </c>
      <c r="B172" t="s">
        <v>45</v>
      </c>
      <c r="C172" t="s">
        <v>18</v>
      </c>
      <c r="D172">
        <v>102956</v>
      </c>
      <c r="E172">
        <v>32080</v>
      </c>
      <c r="F172">
        <v>980</v>
      </c>
      <c r="G172">
        <v>103726</v>
      </c>
      <c r="H172" t="s">
        <v>25</v>
      </c>
      <c r="I172" t="s">
        <v>20</v>
      </c>
      <c r="J172" t="s">
        <v>42</v>
      </c>
      <c r="K172" t="s">
        <v>52</v>
      </c>
      <c r="L172" t="s">
        <v>180</v>
      </c>
      <c r="M172">
        <v>93.1</v>
      </c>
      <c r="N172">
        <v>70820</v>
      </c>
      <c r="O172">
        <f>YEAR(Table1[[#This Row],[Date]])</f>
        <v>2025</v>
      </c>
      <c r="P172" t="str">
        <f>TEXT(Table1[[#This Row],[Date]],"MMM")</f>
        <v>Jun</v>
      </c>
      <c r="Q172">
        <f>Table1[[#This Row],[Revenue]]-Table1[[#This Row],[Expenses]]</f>
        <v>70876</v>
      </c>
    </row>
    <row r="173" spans="1:17" x14ac:dyDescent="0.3">
      <c r="A173" s="2">
        <v>45829</v>
      </c>
      <c r="B173" t="s">
        <v>45</v>
      </c>
      <c r="C173" t="s">
        <v>39</v>
      </c>
      <c r="D173">
        <v>279097</v>
      </c>
      <c r="E173">
        <v>59203</v>
      </c>
      <c r="F173">
        <v>1155</v>
      </c>
      <c r="G173">
        <v>275061</v>
      </c>
      <c r="H173" t="s">
        <v>19</v>
      </c>
      <c r="I173" t="s">
        <v>26</v>
      </c>
      <c r="J173" t="s">
        <v>21</v>
      </c>
      <c r="K173" t="s">
        <v>35</v>
      </c>
      <c r="L173" t="s">
        <v>50</v>
      </c>
      <c r="M173">
        <v>87.5</v>
      </c>
      <c r="N173">
        <v>202358</v>
      </c>
      <c r="O173">
        <f>YEAR(Table1[[#This Row],[Date]])</f>
        <v>2025</v>
      </c>
      <c r="P173" t="str">
        <f>TEXT(Table1[[#This Row],[Date]],"MMM")</f>
        <v>Jun</v>
      </c>
      <c r="Q173">
        <f>Table1[[#This Row],[Revenue]]-Table1[[#This Row],[Expenses]]</f>
        <v>219894</v>
      </c>
    </row>
    <row r="174" spans="1:17" x14ac:dyDescent="0.3">
      <c r="A174" s="2">
        <v>45830</v>
      </c>
      <c r="B174" t="s">
        <v>17</v>
      </c>
      <c r="C174" t="s">
        <v>24</v>
      </c>
      <c r="D174">
        <v>173730</v>
      </c>
      <c r="E174">
        <v>85852</v>
      </c>
      <c r="F174">
        <v>287</v>
      </c>
      <c r="G174">
        <v>184121</v>
      </c>
      <c r="H174" t="s">
        <v>19</v>
      </c>
      <c r="I174" t="s">
        <v>20</v>
      </c>
      <c r="J174" t="s">
        <v>21</v>
      </c>
      <c r="K174" t="s">
        <v>49</v>
      </c>
      <c r="L174" t="s">
        <v>181</v>
      </c>
      <c r="M174">
        <v>91.6</v>
      </c>
      <c r="N174">
        <v>86738</v>
      </c>
      <c r="O174">
        <f>YEAR(Table1[[#This Row],[Date]])</f>
        <v>2025</v>
      </c>
      <c r="P174" t="str">
        <f>TEXT(Table1[[#This Row],[Date]],"MMM")</f>
        <v>Jun</v>
      </c>
      <c r="Q174">
        <f>Table1[[#This Row],[Revenue]]-Table1[[#This Row],[Expenses]]</f>
        <v>87878</v>
      </c>
    </row>
    <row r="175" spans="1:17" x14ac:dyDescent="0.3">
      <c r="A175" s="2">
        <v>45831</v>
      </c>
      <c r="B175" t="s">
        <v>45</v>
      </c>
      <c r="C175" t="s">
        <v>18</v>
      </c>
      <c r="D175">
        <v>87269</v>
      </c>
      <c r="E175">
        <v>61723</v>
      </c>
      <c r="F175">
        <v>966</v>
      </c>
      <c r="G175">
        <v>84356</v>
      </c>
      <c r="H175" t="s">
        <v>58</v>
      </c>
      <c r="I175" t="s">
        <v>26</v>
      </c>
      <c r="J175" t="s">
        <v>29</v>
      </c>
      <c r="K175" t="s">
        <v>49</v>
      </c>
      <c r="L175" t="s">
        <v>182</v>
      </c>
      <c r="M175">
        <v>83.4</v>
      </c>
      <c r="N175">
        <v>26090</v>
      </c>
      <c r="O175">
        <f>YEAR(Table1[[#This Row],[Date]])</f>
        <v>2025</v>
      </c>
      <c r="P175" t="str">
        <f>TEXT(Table1[[#This Row],[Date]],"MMM")</f>
        <v>Jun</v>
      </c>
      <c r="Q175">
        <f>Table1[[#This Row],[Revenue]]-Table1[[#This Row],[Expenses]]</f>
        <v>25546</v>
      </c>
    </row>
    <row r="176" spans="1:17" x14ac:dyDescent="0.3">
      <c r="A176" s="2">
        <v>45832</v>
      </c>
      <c r="B176" t="s">
        <v>17</v>
      </c>
      <c r="C176" t="s">
        <v>18</v>
      </c>
      <c r="D176">
        <v>289548</v>
      </c>
      <c r="E176">
        <v>33685</v>
      </c>
      <c r="F176">
        <v>834</v>
      </c>
      <c r="G176">
        <v>265444</v>
      </c>
      <c r="H176" t="s">
        <v>25</v>
      </c>
      <c r="I176" t="s">
        <v>26</v>
      </c>
      <c r="J176" t="s">
        <v>3</v>
      </c>
      <c r="K176" t="s">
        <v>30</v>
      </c>
      <c r="L176" t="s">
        <v>183</v>
      </c>
      <c r="M176">
        <v>76.900000000000006</v>
      </c>
      <c r="N176">
        <v>236490</v>
      </c>
      <c r="O176">
        <f>YEAR(Table1[[#This Row],[Date]])</f>
        <v>2025</v>
      </c>
      <c r="P176" t="str">
        <f>TEXT(Table1[[#This Row],[Date]],"MMM")</f>
        <v>Jun</v>
      </c>
      <c r="Q176">
        <f>Table1[[#This Row],[Revenue]]-Table1[[#This Row],[Expenses]]</f>
        <v>255863</v>
      </c>
    </row>
    <row r="177" spans="1:17" x14ac:dyDescent="0.3">
      <c r="A177" s="2">
        <v>45833</v>
      </c>
      <c r="B177" t="s">
        <v>32</v>
      </c>
      <c r="C177" t="s">
        <v>24</v>
      </c>
      <c r="D177">
        <v>136978</v>
      </c>
      <c r="E177">
        <v>63599</v>
      </c>
      <c r="F177">
        <v>235</v>
      </c>
      <c r="G177">
        <v>148854</v>
      </c>
      <c r="H177" t="s">
        <v>58</v>
      </c>
      <c r="I177" t="s">
        <v>20</v>
      </c>
      <c r="J177" t="s">
        <v>3</v>
      </c>
      <c r="K177" t="s">
        <v>46</v>
      </c>
      <c r="L177" t="s">
        <v>152</v>
      </c>
      <c r="M177">
        <v>78.900000000000006</v>
      </c>
      <c r="N177">
        <v>74215</v>
      </c>
      <c r="O177">
        <f>YEAR(Table1[[#This Row],[Date]])</f>
        <v>2025</v>
      </c>
      <c r="P177" t="str">
        <f>TEXT(Table1[[#This Row],[Date]],"MMM")</f>
        <v>Jun</v>
      </c>
      <c r="Q177">
        <f>Table1[[#This Row],[Revenue]]-Table1[[#This Row],[Expenses]]</f>
        <v>73379</v>
      </c>
    </row>
    <row r="178" spans="1:17" x14ac:dyDescent="0.3">
      <c r="A178" s="2">
        <v>45834</v>
      </c>
      <c r="B178" t="s">
        <v>17</v>
      </c>
      <c r="C178" t="s">
        <v>48</v>
      </c>
      <c r="D178">
        <v>96322</v>
      </c>
      <c r="E178">
        <v>40783</v>
      </c>
      <c r="F178">
        <v>645</v>
      </c>
      <c r="G178">
        <v>87592</v>
      </c>
      <c r="H178" t="s">
        <v>19</v>
      </c>
      <c r="I178" t="s">
        <v>37</v>
      </c>
      <c r="J178" t="s">
        <v>51</v>
      </c>
      <c r="K178" t="s">
        <v>49</v>
      </c>
      <c r="L178" t="s">
        <v>184</v>
      </c>
      <c r="M178">
        <v>83.7</v>
      </c>
      <c r="N178">
        <v>60695</v>
      </c>
      <c r="O178">
        <f>YEAR(Table1[[#This Row],[Date]])</f>
        <v>2025</v>
      </c>
      <c r="P178" t="str">
        <f>TEXT(Table1[[#This Row],[Date]],"MMM")</f>
        <v>Jun</v>
      </c>
      <c r="Q178">
        <f>Table1[[#This Row],[Revenue]]-Table1[[#This Row],[Expenses]]</f>
        <v>55539</v>
      </c>
    </row>
    <row r="179" spans="1:17" x14ac:dyDescent="0.3">
      <c r="A179" s="2">
        <v>45835</v>
      </c>
      <c r="B179" t="s">
        <v>32</v>
      </c>
      <c r="C179" t="s">
        <v>48</v>
      </c>
      <c r="D179">
        <v>56066</v>
      </c>
      <c r="E179">
        <v>38120</v>
      </c>
      <c r="F179">
        <v>393</v>
      </c>
      <c r="G179">
        <v>60305</v>
      </c>
      <c r="H179" t="s">
        <v>25</v>
      </c>
      <c r="I179" t="s">
        <v>20</v>
      </c>
      <c r="J179" t="s">
        <v>29</v>
      </c>
      <c r="K179" t="s">
        <v>43</v>
      </c>
      <c r="L179" t="s">
        <v>185</v>
      </c>
      <c r="M179">
        <v>92.8</v>
      </c>
      <c r="N179">
        <v>17535</v>
      </c>
      <c r="O179">
        <f>YEAR(Table1[[#This Row],[Date]])</f>
        <v>2025</v>
      </c>
      <c r="P179" t="str">
        <f>TEXT(Table1[[#This Row],[Date]],"MMM")</f>
        <v>Jun</v>
      </c>
      <c r="Q179">
        <f>Table1[[#This Row],[Revenue]]-Table1[[#This Row],[Expenses]]</f>
        <v>17946</v>
      </c>
    </row>
    <row r="180" spans="1:17" x14ac:dyDescent="0.3">
      <c r="A180" s="2">
        <v>45836</v>
      </c>
      <c r="B180" t="s">
        <v>17</v>
      </c>
      <c r="C180" t="s">
        <v>41</v>
      </c>
      <c r="D180">
        <v>275529</v>
      </c>
      <c r="E180">
        <v>70289</v>
      </c>
      <c r="F180">
        <v>220</v>
      </c>
      <c r="G180">
        <v>275380</v>
      </c>
      <c r="H180" t="s">
        <v>25</v>
      </c>
      <c r="I180" t="s">
        <v>20</v>
      </c>
      <c r="J180" t="s">
        <v>42</v>
      </c>
      <c r="K180" t="s">
        <v>71</v>
      </c>
      <c r="L180" t="s">
        <v>166</v>
      </c>
      <c r="M180">
        <v>94.2</v>
      </c>
      <c r="N180">
        <v>189305</v>
      </c>
      <c r="O180">
        <f>YEAR(Table1[[#This Row],[Date]])</f>
        <v>2025</v>
      </c>
      <c r="P180" t="str">
        <f>TEXT(Table1[[#This Row],[Date]],"MMM")</f>
        <v>Jun</v>
      </c>
      <c r="Q180">
        <f>Table1[[#This Row],[Revenue]]-Table1[[#This Row],[Expenses]]</f>
        <v>205240</v>
      </c>
    </row>
    <row r="181" spans="1:17" x14ac:dyDescent="0.3">
      <c r="A181" s="2">
        <v>45837</v>
      </c>
      <c r="B181" t="s">
        <v>45</v>
      </c>
      <c r="C181" t="s">
        <v>39</v>
      </c>
      <c r="D181">
        <v>207774</v>
      </c>
      <c r="E181">
        <v>77524</v>
      </c>
      <c r="F181">
        <v>1178</v>
      </c>
      <c r="G181">
        <v>207345</v>
      </c>
      <c r="H181" t="s">
        <v>19</v>
      </c>
      <c r="I181" t="s">
        <v>26</v>
      </c>
      <c r="J181" t="s">
        <v>51</v>
      </c>
      <c r="K181" t="s">
        <v>49</v>
      </c>
      <c r="L181" t="s">
        <v>186</v>
      </c>
      <c r="M181">
        <v>89.8</v>
      </c>
      <c r="N181">
        <v>129338</v>
      </c>
      <c r="O181">
        <f>YEAR(Table1[[#This Row],[Date]])</f>
        <v>2025</v>
      </c>
      <c r="P181" t="str">
        <f>TEXT(Table1[[#This Row],[Date]],"MMM")</f>
        <v>Jun</v>
      </c>
      <c r="Q181">
        <f>Table1[[#This Row],[Revenue]]-Table1[[#This Row],[Expenses]]</f>
        <v>130250</v>
      </c>
    </row>
    <row r="182" spans="1:17" x14ac:dyDescent="0.3">
      <c r="A182" s="2">
        <v>45838</v>
      </c>
      <c r="B182" t="s">
        <v>17</v>
      </c>
      <c r="C182" t="s">
        <v>24</v>
      </c>
      <c r="D182">
        <v>111758</v>
      </c>
      <c r="E182">
        <v>66681</v>
      </c>
      <c r="F182">
        <v>605</v>
      </c>
      <c r="G182">
        <v>104870</v>
      </c>
      <c r="H182" t="s">
        <v>19</v>
      </c>
      <c r="I182" t="s">
        <v>26</v>
      </c>
      <c r="J182" t="s">
        <v>3</v>
      </c>
      <c r="K182" t="s">
        <v>49</v>
      </c>
      <c r="L182" t="s">
        <v>140</v>
      </c>
      <c r="M182">
        <v>90.9</v>
      </c>
      <c r="N182">
        <v>44412</v>
      </c>
      <c r="O182">
        <f>YEAR(Table1[[#This Row],[Date]])</f>
        <v>2025</v>
      </c>
      <c r="P182" t="str">
        <f>TEXT(Table1[[#This Row],[Date]],"MMM")</f>
        <v>Jun</v>
      </c>
      <c r="Q182">
        <f>Table1[[#This Row],[Revenue]]-Table1[[#This Row],[Expenses]]</f>
        <v>45077</v>
      </c>
    </row>
    <row r="183" spans="1:17" x14ac:dyDescent="0.3">
      <c r="A183" s="2">
        <v>45839</v>
      </c>
      <c r="B183" t="s">
        <v>28</v>
      </c>
      <c r="C183" t="s">
        <v>41</v>
      </c>
      <c r="D183">
        <v>80138</v>
      </c>
      <c r="E183">
        <v>48196</v>
      </c>
      <c r="F183">
        <v>469</v>
      </c>
      <c r="G183">
        <v>73008</v>
      </c>
      <c r="H183" t="s">
        <v>58</v>
      </c>
      <c r="I183" t="s">
        <v>26</v>
      </c>
      <c r="J183" t="s">
        <v>3</v>
      </c>
      <c r="K183" t="s">
        <v>71</v>
      </c>
      <c r="L183" t="s">
        <v>187</v>
      </c>
      <c r="M183">
        <v>83.2</v>
      </c>
      <c r="N183">
        <v>31111</v>
      </c>
      <c r="O183">
        <f>YEAR(Table1[[#This Row],[Date]])</f>
        <v>2025</v>
      </c>
      <c r="P183" t="str">
        <f>TEXT(Table1[[#This Row],[Date]],"MMM")</f>
        <v>Jul</v>
      </c>
      <c r="Q183">
        <f>Table1[[#This Row],[Revenue]]-Table1[[#This Row],[Expenses]]</f>
        <v>31942</v>
      </c>
    </row>
    <row r="184" spans="1:17" x14ac:dyDescent="0.3">
      <c r="A184" s="2">
        <v>45840</v>
      </c>
      <c r="B184" t="s">
        <v>28</v>
      </c>
      <c r="C184" t="s">
        <v>39</v>
      </c>
      <c r="D184">
        <v>71926</v>
      </c>
      <c r="E184">
        <v>30305</v>
      </c>
      <c r="F184">
        <v>1280</v>
      </c>
      <c r="G184">
        <v>71506</v>
      </c>
      <c r="H184" t="s">
        <v>25</v>
      </c>
      <c r="I184" t="s">
        <v>26</v>
      </c>
      <c r="J184" t="s">
        <v>21</v>
      </c>
      <c r="K184" t="s">
        <v>35</v>
      </c>
      <c r="L184" t="s">
        <v>182</v>
      </c>
      <c r="M184">
        <v>79.2</v>
      </c>
      <c r="N184">
        <v>40240</v>
      </c>
      <c r="O184">
        <f>YEAR(Table1[[#This Row],[Date]])</f>
        <v>2025</v>
      </c>
      <c r="P184" t="str">
        <f>TEXT(Table1[[#This Row],[Date]],"MMM")</f>
        <v>Jul</v>
      </c>
      <c r="Q184">
        <f>Table1[[#This Row],[Revenue]]-Table1[[#This Row],[Expenses]]</f>
        <v>41621</v>
      </c>
    </row>
    <row r="185" spans="1:17" x14ac:dyDescent="0.3">
      <c r="A185" s="2">
        <v>45841</v>
      </c>
      <c r="B185" t="s">
        <v>45</v>
      </c>
      <c r="C185" t="s">
        <v>18</v>
      </c>
      <c r="D185">
        <v>183016</v>
      </c>
      <c r="E185">
        <v>99958</v>
      </c>
      <c r="F185">
        <v>944</v>
      </c>
      <c r="G185">
        <v>176471</v>
      </c>
      <c r="H185" t="s">
        <v>25</v>
      </c>
      <c r="I185" t="s">
        <v>20</v>
      </c>
      <c r="J185" t="s">
        <v>21</v>
      </c>
      <c r="K185" t="s">
        <v>49</v>
      </c>
      <c r="L185" t="s">
        <v>57</v>
      </c>
      <c r="M185">
        <v>98.4</v>
      </c>
      <c r="N185">
        <v>85445</v>
      </c>
      <c r="O185">
        <f>YEAR(Table1[[#This Row],[Date]])</f>
        <v>2025</v>
      </c>
      <c r="P185" t="str">
        <f>TEXT(Table1[[#This Row],[Date]],"MMM")</f>
        <v>Jul</v>
      </c>
      <c r="Q185">
        <f>Table1[[#This Row],[Revenue]]-Table1[[#This Row],[Expenses]]</f>
        <v>83058</v>
      </c>
    </row>
    <row r="186" spans="1:17" x14ac:dyDescent="0.3">
      <c r="A186" s="2">
        <v>45842</v>
      </c>
      <c r="B186" t="s">
        <v>32</v>
      </c>
      <c r="C186" t="s">
        <v>39</v>
      </c>
      <c r="D186">
        <v>225879</v>
      </c>
      <c r="E186">
        <v>40537</v>
      </c>
      <c r="F186">
        <v>403</v>
      </c>
      <c r="G186">
        <v>237426</v>
      </c>
      <c r="H186" t="s">
        <v>25</v>
      </c>
      <c r="I186" t="s">
        <v>20</v>
      </c>
      <c r="J186" t="s">
        <v>3</v>
      </c>
      <c r="K186" t="s">
        <v>49</v>
      </c>
      <c r="L186" t="s">
        <v>27</v>
      </c>
      <c r="M186">
        <v>85.4</v>
      </c>
      <c r="N186">
        <v>194752</v>
      </c>
      <c r="O186">
        <f>YEAR(Table1[[#This Row],[Date]])</f>
        <v>2025</v>
      </c>
      <c r="P186" t="str">
        <f>TEXT(Table1[[#This Row],[Date]],"MMM")</f>
        <v>Jul</v>
      </c>
      <c r="Q186">
        <f>Table1[[#This Row],[Revenue]]-Table1[[#This Row],[Expenses]]</f>
        <v>185342</v>
      </c>
    </row>
    <row r="187" spans="1:17" x14ac:dyDescent="0.3">
      <c r="A187" s="2">
        <v>45843</v>
      </c>
      <c r="B187" t="s">
        <v>28</v>
      </c>
      <c r="C187" t="s">
        <v>24</v>
      </c>
      <c r="D187">
        <v>154324</v>
      </c>
      <c r="E187">
        <v>33294</v>
      </c>
      <c r="F187">
        <v>1140</v>
      </c>
      <c r="G187">
        <v>157666</v>
      </c>
      <c r="H187" t="s">
        <v>34</v>
      </c>
      <c r="I187" t="s">
        <v>26</v>
      </c>
      <c r="J187" t="s">
        <v>51</v>
      </c>
      <c r="K187" t="s">
        <v>71</v>
      </c>
      <c r="L187" t="s">
        <v>188</v>
      </c>
      <c r="M187">
        <v>93.7</v>
      </c>
      <c r="N187">
        <v>118666</v>
      </c>
      <c r="O187">
        <f>YEAR(Table1[[#This Row],[Date]])</f>
        <v>2025</v>
      </c>
      <c r="P187" t="str">
        <f>TEXT(Table1[[#This Row],[Date]],"MMM")</f>
        <v>Jul</v>
      </c>
      <c r="Q187">
        <f>Table1[[#This Row],[Revenue]]-Table1[[#This Row],[Expenses]]</f>
        <v>121030</v>
      </c>
    </row>
    <row r="188" spans="1:17" x14ac:dyDescent="0.3">
      <c r="A188" s="2">
        <v>45844</v>
      </c>
      <c r="B188" t="s">
        <v>32</v>
      </c>
      <c r="C188" t="s">
        <v>33</v>
      </c>
      <c r="D188">
        <v>65168</v>
      </c>
      <c r="E188">
        <v>44000</v>
      </c>
      <c r="F188">
        <v>1435</v>
      </c>
      <c r="G188">
        <v>71150</v>
      </c>
      <c r="H188" t="s">
        <v>19</v>
      </c>
      <c r="I188" t="s">
        <v>26</v>
      </c>
      <c r="J188" t="s">
        <v>42</v>
      </c>
      <c r="K188" t="s">
        <v>24</v>
      </c>
      <c r="L188" t="s">
        <v>78</v>
      </c>
      <c r="M188">
        <v>91.7</v>
      </c>
      <c r="N188">
        <v>21889</v>
      </c>
      <c r="O188">
        <f>YEAR(Table1[[#This Row],[Date]])</f>
        <v>2025</v>
      </c>
      <c r="P188" t="str">
        <f>TEXT(Table1[[#This Row],[Date]],"MMM")</f>
        <v>Jul</v>
      </c>
      <c r="Q188">
        <f>Table1[[#This Row],[Revenue]]-Table1[[#This Row],[Expenses]]</f>
        <v>21168</v>
      </c>
    </row>
    <row r="189" spans="1:17" x14ac:dyDescent="0.3">
      <c r="A189" s="2">
        <v>45845</v>
      </c>
      <c r="B189" t="s">
        <v>28</v>
      </c>
      <c r="C189" t="s">
        <v>33</v>
      </c>
      <c r="D189">
        <v>226938</v>
      </c>
      <c r="E189">
        <v>50899</v>
      </c>
      <c r="F189">
        <v>1157</v>
      </c>
      <c r="G189">
        <v>236158</v>
      </c>
      <c r="H189" t="s">
        <v>34</v>
      </c>
      <c r="I189" t="s">
        <v>20</v>
      </c>
      <c r="J189" t="s">
        <v>29</v>
      </c>
      <c r="K189" t="s">
        <v>49</v>
      </c>
      <c r="L189" t="s">
        <v>70</v>
      </c>
      <c r="M189">
        <v>95.5</v>
      </c>
      <c r="N189">
        <v>170879</v>
      </c>
      <c r="O189">
        <f>YEAR(Table1[[#This Row],[Date]])</f>
        <v>2025</v>
      </c>
      <c r="P189" t="str">
        <f>TEXT(Table1[[#This Row],[Date]],"MMM")</f>
        <v>Jul</v>
      </c>
      <c r="Q189">
        <f>Table1[[#This Row],[Revenue]]-Table1[[#This Row],[Expenses]]</f>
        <v>176039</v>
      </c>
    </row>
    <row r="190" spans="1:17" x14ac:dyDescent="0.3">
      <c r="A190" s="2">
        <v>45846</v>
      </c>
      <c r="B190" t="s">
        <v>28</v>
      </c>
      <c r="C190" t="s">
        <v>48</v>
      </c>
      <c r="D190">
        <v>195721</v>
      </c>
      <c r="E190">
        <v>62942</v>
      </c>
      <c r="F190">
        <v>1109</v>
      </c>
      <c r="G190">
        <v>181091</v>
      </c>
      <c r="H190" t="s">
        <v>58</v>
      </c>
      <c r="I190" t="s">
        <v>20</v>
      </c>
      <c r="J190" t="s">
        <v>42</v>
      </c>
      <c r="K190" t="s">
        <v>52</v>
      </c>
      <c r="L190" t="s">
        <v>31</v>
      </c>
      <c r="M190">
        <v>94.7</v>
      </c>
      <c r="N190">
        <v>126170</v>
      </c>
      <c r="O190">
        <f>YEAR(Table1[[#This Row],[Date]])</f>
        <v>2025</v>
      </c>
      <c r="P190" t="str">
        <f>TEXT(Table1[[#This Row],[Date]],"MMM")</f>
        <v>Jul</v>
      </c>
      <c r="Q190">
        <f>Table1[[#This Row],[Revenue]]-Table1[[#This Row],[Expenses]]</f>
        <v>132779</v>
      </c>
    </row>
    <row r="191" spans="1:17" x14ac:dyDescent="0.3">
      <c r="A191" s="2">
        <v>45847</v>
      </c>
      <c r="B191" t="s">
        <v>32</v>
      </c>
      <c r="C191" t="s">
        <v>48</v>
      </c>
      <c r="D191">
        <v>108665</v>
      </c>
      <c r="E191">
        <v>82440</v>
      </c>
      <c r="F191">
        <v>1488</v>
      </c>
      <c r="G191">
        <v>117495</v>
      </c>
      <c r="H191" t="s">
        <v>25</v>
      </c>
      <c r="I191" t="s">
        <v>26</v>
      </c>
      <c r="J191" t="s">
        <v>51</v>
      </c>
      <c r="K191" t="s">
        <v>22</v>
      </c>
      <c r="L191" t="s">
        <v>121</v>
      </c>
      <c r="M191">
        <v>94.1</v>
      </c>
      <c r="N191">
        <v>28820</v>
      </c>
      <c r="O191">
        <f>YEAR(Table1[[#This Row],[Date]])</f>
        <v>2025</v>
      </c>
      <c r="P191" t="str">
        <f>TEXT(Table1[[#This Row],[Date]],"MMM")</f>
        <v>Jul</v>
      </c>
      <c r="Q191">
        <f>Table1[[#This Row],[Revenue]]-Table1[[#This Row],[Expenses]]</f>
        <v>26225</v>
      </c>
    </row>
    <row r="192" spans="1:17" x14ac:dyDescent="0.3">
      <c r="A192" s="2">
        <v>45848</v>
      </c>
      <c r="B192" t="s">
        <v>17</v>
      </c>
      <c r="C192" t="s">
        <v>33</v>
      </c>
      <c r="D192">
        <v>142327</v>
      </c>
      <c r="E192">
        <v>46749</v>
      </c>
      <c r="F192">
        <v>952</v>
      </c>
      <c r="G192">
        <v>133133</v>
      </c>
      <c r="H192" t="s">
        <v>34</v>
      </c>
      <c r="I192" t="s">
        <v>37</v>
      </c>
      <c r="J192" t="s">
        <v>21</v>
      </c>
      <c r="K192" t="s">
        <v>49</v>
      </c>
      <c r="L192" t="s">
        <v>189</v>
      </c>
      <c r="M192">
        <v>97.4</v>
      </c>
      <c r="N192">
        <v>97580</v>
      </c>
      <c r="O192">
        <f>YEAR(Table1[[#This Row],[Date]])</f>
        <v>2025</v>
      </c>
      <c r="P192" t="str">
        <f>TEXT(Table1[[#This Row],[Date]],"MMM")</f>
        <v>Jul</v>
      </c>
      <c r="Q192">
        <f>Table1[[#This Row],[Revenue]]-Table1[[#This Row],[Expenses]]</f>
        <v>95578</v>
      </c>
    </row>
    <row r="193" spans="1:17" x14ac:dyDescent="0.3">
      <c r="A193" s="2">
        <v>45849</v>
      </c>
      <c r="B193" t="s">
        <v>45</v>
      </c>
      <c r="C193" t="s">
        <v>48</v>
      </c>
      <c r="D193">
        <v>291844</v>
      </c>
      <c r="E193">
        <v>180204</v>
      </c>
      <c r="F193">
        <v>1311</v>
      </c>
      <c r="G193">
        <v>283998</v>
      </c>
      <c r="H193" t="s">
        <v>25</v>
      </c>
      <c r="I193" t="s">
        <v>26</v>
      </c>
      <c r="J193" t="s">
        <v>29</v>
      </c>
      <c r="K193" t="s">
        <v>46</v>
      </c>
      <c r="L193" t="s">
        <v>163</v>
      </c>
      <c r="M193">
        <v>83.8</v>
      </c>
      <c r="N193">
        <v>117411</v>
      </c>
      <c r="O193">
        <f>YEAR(Table1[[#This Row],[Date]])</f>
        <v>2025</v>
      </c>
      <c r="P193" t="str">
        <f>TEXT(Table1[[#This Row],[Date]],"MMM")</f>
        <v>Jul</v>
      </c>
      <c r="Q193">
        <f>Table1[[#This Row],[Revenue]]-Table1[[#This Row],[Expenses]]</f>
        <v>111640</v>
      </c>
    </row>
    <row r="194" spans="1:17" x14ac:dyDescent="0.3">
      <c r="A194" s="2">
        <v>45850</v>
      </c>
      <c r="B194" t="s">
        <v>32</v>
      </c>
      <c r="C194" t="s">
        <v>18</v>
      </c>
      <c r="D194">
        <v>224189</v>
      </c>
      <c r="E194">
        <v>176002</v>
      </c>
      <c r="F194">
        <v>1075</v>
      </c>
      <c r="G194">
        <v>203562</v>
      </c>
      <c r="H194" t="s">
        <v>34</v>
      </c>
      <c r="I194" t="s">
        <v>37</v>
      </c>
      <c r="J194" t="s">
        <v>42</v>
      </c>
      <c r="K194" t="s">
        <v>52</v>
      </c>
      <c r="L194" t="s">
        <v>190</v>
      </c>
      <c r="M194">
        <v>92.3</v>
      </c>
      <c r="N194">
        <v>48103</v>
      </c>
      <c r="O194">
        <f>YEAR(Table1[[#This Row],[Date]])</f>
        <v>2025</v>
      </c>
      <c r="P194" t="str">
        <f>TEXT(Table1[[#This Row],[Date]],"MMM")</f>
        <v>Jul</v>
      </c>
      <c r="Q194">
        <f>Table1[[#This Row],[Revenue]]-Table1[[#This Row],[Expenses]]</f>
        <v>48187</v>
      </c>
    </row>
    <row r="195" spans="1:17" x14ac:dyDescent="0.3">
      <c r="A195" s="2">
        <v>45851</v>
      </c>
      <c r="B195" t="s">
        <v>28</v>
      </c>
      <c r="C195" t="s">
        <v>24</v>
      </c>
      <c r="D195">
        <v>289996</v>
      </c>
      <c r="E195">
        <v>154851</v>
      </c>
      <c r="F195">
        <v>916</v>
      </c>
      <c r="G195">
        <v>302115</v>
      </c>
      <c r="H195" t="s">
        <v>25</v>
      </c>
      <c r="I195" t="s">
        <v>26</v>
      </c>
      <c r="J195" t="s">
        <v>51</v>
      </c>
      <c r="K195" t="s">
        <v>52</v>
      </c>
      <c r="L195" t="s">
        <v>191</v>
      </c>
      <c r="M195">
        <v>94.5</v>
      </c>
      <c r="N195">
        <v>129917</v>
      </c>
      <c r="O195">
        <f>YEAR(Table1[[#This Row],[Date]])</f>
        <v>2025</v>
      </c>
      <c r="P195" t="str">
        <f>TEXT(Table1[[#This Row],[Date]],"MMM")</f>
        <v>Jul</v>
      </c>
      <c r="Q195">
        <f>Table1[[#This Row],[Revenue]]-Table1[[#This Row],[Expenses]]</f>
        <v>135145</v>
      </c>
    </row>
    <row r="196" spans="1:17" x14ac:dyDescent="0.3">
      <c r="A196" s="2">
        <v>45852</v>
      </c>
      <c r="B196" t="s">
        <v>45</v>
      </c>
      <c r="C196" t="s">
        <v>48</v>
      </c>
      <c r="D196">
        <v>219437</v>
      </c>
      <c r="E196">
        <v>164698</v>
      </c>
      <c r="F196">
        <v>1282</v>
      </c>
      <c r="G196">
        <v>221245</v>
      </c>
      <c r="H196" t="s">
        <v>34</v>
      </c>
      <c r="I196" t="s">
        <v>26</v>
      </c>
      <c r="J196" t="s">
        <v>42</v>
      </c>
      <c r="K196" t="s">
        <v>30</v>
      </c>
      <c r="L196" t="s">
        <v>192</v>
      </c>
      <c r="M196">
        <v>89</v>
      </c>
      <c r="N196">
        <v>50629</v>
      </c>
      <c r="O196">
        <f>YEAR(Table1[[#This Row],[Date]])</f>
        <v>2025</v>
      </c>
      <c r="P196" t="str">
        <f>TEXT(Table1[[#This Row],[Date]],"MMM")</f>
        <v>Jul</v>
      </c>
      <c r="Q196">
        <f>Table1[[#This Row],[Revenue]]-Table1[[#This Row],[Expenses]]</f>
        <v>54739</v>
      </c>
    </row>
    <row r="197" spans="1:17" x14ac:dyDescent="0.3">
      <c r="A197" s="2">
        <v>45853</v>
      </c>
      <c r="B197" t="s">
        <v>45</v>
      </c>
      <c r="C197" t="s">
        <v>18</v>
      </c>
      <c r="D197">
        <v>248331</v>
      </c>
      <c r="E197">
        <v>183387</v>
      </c>
      <c r="F197">
        <v>1076</v>
      </c>
      <c r="G197">
        <v>256452</v>
      </c>
      <c r="H197" t="s">
        <v>58</v>
      </c>
      <c r="I197" t="s">
        <v>20</v>
      </c>
      <c r="J197" t="s">
        <v>3</v>
      </c>
      <c r="K197" t="s">
        <v>30</v>
      </c>
      <c r="L197" t="s">
        <v>193</v>
      </c>
      <c r="M197">
        <v>84.7</v>
      </c>
      <c r="N197">
        <v>58785</v>
      </c>
      <c r="O197">
        <f>YEAR(Table1[[#This Row],[Date]])</f>
        <v>2025</v>
      </c>
      <c r="P197" t="str">
        <f>TEXT(Table1[[#This Row],[Date]],"MMM")</f>
        <v>Jul</v>
      </c>
      <c r="Q197">
        <f>Table1[[#This Row],[Revenue]]-Table1[[#This Row],[Expenses]]</f>
        <v>64944</v>
      </c>
    </row>
    <row r="198" spans="1:17" x14ac:dyDescent="0.3">
      <c r="A198" s="2">
        <v>45854</v>
      </c>
      <c r="B198" t="s">
        <v>32</v>
      </c>
      <c r="C198" t="s">
        <v>24</v>
      </c>
      <c r="D198">
        <v>55795</v>
      </c>
      <c r="E198">
        <v>40035</v>
      </c>
      <c r="F198">
        <v>1423</v>
      </c>
      <c r="G198">
        <v>54965</v>
      </c>
      <c r="H198" t="s">
        <v>34</v>
      </c>
      <c r="I198" t="s">
        <v>37</v>
      </c>
      <c r="J198" t="s">
        <v>21</v>
      </c>
      <c r="K198" t="s">
        <v>35</v>
      </c>
      <c r="L198" t="s">
        <v>66</v>
      </c>
      <c r="M198">
        <v>75.5</v>
      </c>
      <c r="N198">
        <v>16933</v>
      </c>
      <c r="O198">
        <f>YEAR(Table1[[#This Row],[Date]])</f>
        <v>2025</v>
      </c>
      <c r="P198" t="str">
        <f>TEXT(Table1[[#This Row],[Date]],"MMM")</f>
        <v>Jul</v>
      </c>
      <c r="Q198">
        <f>Table1[[#This Row],[Revenue]]-Table1[[#This Row],[Expenses]]</f>
        <v>15760</v>
      </c>
    </row>
    <row r="199" spans="1:17" x14ac:dyDescent="0.3">
      <c r="A199" s="2">
        <v>45855</v>
      </c>
      <c r="B199" t="s">
        <v>32</v>
      </c>
      <c r="C199" t="s">
        <v>24</v>
      </c>
      <c r="D199">
        <v>187680</v>
      </c>
      <c r="E199">
        <v>62667</v>
      </c>
      <c r="F199">
        <v>419</v>
      </c>
      <c r="G199">
        <v>181944</v>
      </c>
      <c r="H199" t="s">
        <v>34</v>
      </c>
      <c r="I199" t="s">
        <v>37</v>
      </c>
      <c r="J199" t="s">
        <v>42</v>
      </c>
      <c r="K199" t="s">
        <v>52</v>
      </c>
      <c r="L199" t="s">
        <v>94</v>
      </c>
      <c r="M199">
        <v>81.7</v>
      </c>
      <c r="N199">
        <v>127748</v>
      </c>
      <c r="O199">
        <f>YEAR(Table1[[#This Row],[Date]])</f>
        <v>2025</v>
      </c>
      <c r="P199" t="str">
        <f>TEXT(Table1[[#This Row],[Date]],"MMM")</f>
        <v>Jul</v>
      </c>
      <c r="Q199">
        <f>Table1[[#This Row],[Revenue]]-Table1[[#This Row],[Expenses]]</f>
        <v>125013</v>
      </c>
    </row>
    <row r="200" spans="1:17" x14ac:dyDescent="0.3">
      <c r="A200" s="2">
        <v>45856</v>
      </c>
      <c r="B200" t="s">
        <v>45</v>
      </c>
      <c r="C200" t="s">
        <v>39</v>
      </c>
      <c r="D200">
        <v>237902</v>
      </c>
      <c r="E200">
        <v>154393</v>
      </c>
      <c r="F200">
        <v>1388</v>
      </c>
      <c r="G200">
        <v>222196</v>
      </c>
      <c r="H200" t="s">
        <v>34</v>
      </c>
      <c r="I200" t="s">
        <v>26</v>
      </c>
      <c r="J200" t="s">
        <v>29</v>
      </c>
      <c r="K200" t="s">
        <v>24</v>
      </c>
      <c r="L200" t="s">
        <v>194</v>
      </c>
      <c r="M200">
        <v>78.3</v>
      </c>
      <c r="N200">
        <v>81420</v>
      </c>
      <c r="O200">
        <f>YEAR(Table1[[#This Row],[Date]])</f>
        <v>2025</v>
      </c>
      <c r="P200" t="str">
        <f>TEXT(Table1[[#This Row],[Date]],"MMM")</f>
        <v>Jul</v>
      </c>
      <c r="Q200">
        <f>Table1[[#This Row],[Revenue]]-Table1[[#This Row],[Expenses]]</f>
        <v>83509</v>
      </c>
    </row>
    <row r="201" spans="1:17" x14ac:dyDescent="0.3">
      <c r="A201" s="2">
        <v>45857</v>
      </c>
      <c r="B201" t="s">
        <v>28</v>
      </c>
      <c r="C201" t="s">
        <v>33</v>
      </c>
      <c r="D201">
        <v>247408</v>
      </c>
      <c r="E201">
        <v>47143</v>
      </c>
      <c r="F201">
        <v>565</v>
      </c>
      <c r="G201">
        <v>263656</v>
      </c>
      <c r="H201" t="s">
        <v>25</v>
      </c>
      <c r="I201" t="s">
        <v>20</v>
      </c>
      <c r="J201" t="s">
        <v>42</v>
      </c>
      <c r="K201" t="s">
        <v>24</v>
      </c>
      <c r="L201" t="s">
        <v>195</v>
      </c>
      <c r="M201">
        <v>76.099999999999994</v>
      </c>
      <c r="N201">
        <v>213715</v>
      </c>
      <c r="O201">
        <f>YEAR(Table1[[#This Row],[Date]])</f>
        <v>2025</v>
      </c>
      <c r="P201" t="str">
        <f>TEXT(Table1[[#This Row],[Date]],"MMM")</f>
        <v>Jul</v>
      </c>
      <c r="Q201">
        <f>Table1[[#This Row],[Revenue]]-Table1[[#This Row],[Expenses]]</f>
        <v>200265</v>
      </c>
    </row>
    <row r="202" spans="1:17" x14ac:dyDescent="0.3">
      <c r="A202" s="2">
        <v>45858</v>
      </c>
      <c r="B202" t="s">
        <v>28</v>
      </c>
      <c r="C202" t="s">
        <v>33</v>
      </c>
      <c r="D202">
        <v>53570</v>
      </c>
      <c r="E202">
        <v>32194</v>
      </c>
      <c r="F202">
        <v>742</v>
      </c>
      <c r="G202">
        <v>57890</v>
      </c>
      <c r="H202" t="s">
        <v>58</v>
      </c>
      <c r="I202" t="s">
        <v>26</v>
      </c>
      <c r="J202" t="s">
        <v>3</v>
      </c>
      <c r="K202" t="s">
        <v>52</v>
      </c>
      <c r="L202" t="s">
        <v>196</v>
      </c>
      <c r="M202">
        <v>98.5</v>
      </c>
      <c r="N202">
        <v>22343</v>
      </c>
      <c r="O202">
        <f>YEAR(Table1[[#This Row],[Date]])</f>
        <v>2025</v>
      </c>
      <c r="P202" t="str">
        <f>TEXT(Table1[[#This Row],[Date]],"MMM")</f>
        <v>Jul</v>
      </c>
      <c r="Q202">
        <f>Table1[[#This Row],[Revenue]]-Table1[[#This Row],[Expenses]]</f>
        <v>21376</v>
      </c>
    </row>
    <row r="203" spans="1:17" x14ac:dyDescent="0.3">
      <c r="A203" s="2">
        <v>45859</v>
      </c>
      <c r="B203" t="s">
        <v>45</v>
      </c>
      <c r="C203" t="s">
        <v>18</v>
      </c>
      <c r="D203">
        <v>64744</v>
      </c>
      <c r="E203">
        <v>40300</v>
      </c>
      <c r="F203">
        <v>282</v>
      </c>
      <c r="G203">
        <v>60656</v>
      </c>
      <c r="H203" t="s">
        <v>25</v>
      </c>
      <c r="I203" t="s">
        <v>37</v>
      </c>
      <c r="J203" t="s">
        <v>51</v>
      </c>
      <c r="K203" t="s">
        <v>71</v>
      </c>
      <c r="L203" t="s">
        <v>197</v>
      </c>
      <c r="M203">
        <v>78.900000000000006</v>
      </c>
      <c r="N203">
        <v>24870</v>
      </c>
      <c r="O203">
        <f>YEAR(Table1[[#This Row],[Date]])</f>
        <v>2025</v>
      </c>
      <c r="P203" t="str">
        <f>TEXT(Table1[[#This Row],[Date]],"MMM")</f>
        <v>Jul</v>
      </c>
      <c r="Q203">
        <f>Table1[[#This Row],[Revenue]]-Table1[[#This Row],[Expenses]]</f>
        <v>24444</v>
      </c>
    </row>
    <row r="204" spans="1:17" x14ac:dyDescent="0.3">
      <c r="A204" s="2">
        <v>45860</v>
      </c>
      <c r="B204" t="s">
        <v>28</v>
      </c>
      <c r="C204" t="s">
        <v>24</v>
      </c>
      <c r="D204">
        <v>241679</v>
      </c>
      <c r="E204">
        <v>181529</v>
      </c>
      <c r="F204">
        <v>1423</v>
      </c>
      <c r="G204">
        <v>243425</v>
      </c>
      <c r="H204" t="s">
        <v>54</v>
      </c>
      <c r="I204" t="s">
        <v>37</v>
      </c>
      <c r="J204" t="s">
        <v>29</v>
      </c>
      <c r="K204" t="s">
        <v>49</v>
      </c>
      <c r="L204" t="s">
        <v>38</v>
      </c>
      <c r="M204">
        <v>80.3</v>
      </c>
      <c r="N204">
        <v>60363</v>
      </c>
      <c r="O204">
        <f>YEAR(Table1[[#This Row],[Date]])</f>
        <v>2025</v>
      </c>
      <c r="P204" t="str">
        <f>TEXT(Table1[[#This Row],[Date]],"MMM")</f>
        <v>Jul</v>
      </c>
      <c r="Q204">
        <f>Table1[[#This Row],[Revenue]]-Table1[[#This Row],[Expenses]]</f>
        <v>60150</v>
      </c>
    </row>
    <row r="205" spans="1:17" x14ac:dyDescent="0.3">
      <c r="A205" s="2">
        <v>45861</v>
      </c>
      <c r="B205" t="s">
        <v>45</v>
      </c>
      <c r="C205" t="s">
        <v>48</v>
      </c>
      <c r="D205">
        <v>69787</v>
      </c>
      <c r="E205">
        <v>52661</v>
      </c>
      <c r="F205">
        <v>1167</v>
      </c>
      <c r="G205">
        <v>73052</v>
      </c>
      <c r="H205" t="s">
        <v>25</v>
      </c>
      <c r="I205" t="s">
        <v>26</v>
      </c>
      <c r="J205" t="s">
        <v>21</v>
      </c>
      <c r="K205" t="s">
        <v>49</v>
      </c>
      <c r="L205" t="s">
        <v>70</v>
      </c>
      <c r="M205">
        <v>87.3</v>
      </c>
      <c r="N205">
        <v>16629</v>
      </c>
      <c r="O205">
        <f>YEAR(Table1[[#This Row],[Date]])</f>
        <v>2025</v>
      </c>
      <c r="P205" t="str">
        <f>TEXT(Table1[[#This Row],[Date]],"MMM")</f>
        <v>Jul</v>
      </c>
      <c r="Q205">
        <f>Table1[[#This Row],[Revenue]]-Table1[[#This Row],[Expenses]]</f>
        <v>17126</v>
      </c>
    </row>
    <row r="206" spans="1:17" x14ac:dyDescent="0.3">
      <c r="A206" s="2">
        <v>45862</v>
      </c>
      <c r="B206" t="s">
        <v>32</v>
      </c>
      <c r="C206" t="s">
        <v>33</v>
      </c>
      <c r="D206">
        <v>122937</v>
      </c>
      <c r="E206">
        <v>96952</v>
      </c>
      <c r="F206">
        <v>1053</v>
      </c>
      <c r="G206">
        <v>122275</v>
      </c>
      <c r="H206" t="s">
        <v>34</v>
      </c>
      <c r="I206" t="s">
        <v>26</v>
      </c>
      <c r="J206" t="s">
        <v>29</v>
      </c>
      <c r="K206" t="s">
        <v>35</v>
      </c>
      <c r="L206" t="s">
        <v>198</v>
      </c>
      <c r="M206">
        <v>79.400000000000006</v>
      </c>
      <c r="N206">
        <v>28359</v>
      </c>
      <c r="O206">
        <f>YEAR(Table1[[#This Row],[Date]])</f>
        <v>2025</v>
      </c>
      <c r="P206" t="str">
        <f>TEXT(Table1[[#This Row],[Date]],"MMM")</f>
        <v>Jul</v>
      </c>
      <c r="Q206">
        <f>Table1[[#This Row],[Revenue]]-Table1[[#This Row],[Expenses]]</f>
        <v>25985</v>
      </c>
    </row>
    <row r="207" spans="1:17" x14ac:dyDescent="0.3">
      <c r="A207" s="2">
        <v>45863</v>
      </c>
      <c r="B207" t="s">
        <v>32</v>
      </c>
      <c r="C207" t="s">
        <v>41</v>
      </c>
      <c r="D207">
        <v>269836</v>
      </c>
      <c r="E207">
        <v>196210</v>
      </c>
      <c r="F207">
        <v>1101</v>
      </c>
      <c r="G207">
        <v>259976</v>
      </c>
      <c r="H207" t="s">
        <v>25</v>
      </c>
      <c r="I207" t="s">
        <v>20</v>
      </c>
      <c r="J207" t="s">
        <v>29</v>
      </c>
      <c r="K207" t="s">
        <v>46</v>
      </c>
      <c r="L207" t="s">
        <v>199</v>
      </c>
      <c r="M207">
        <v>95.6</v>
      </c>
      <c r="N207">
        <v>73326</v>
      </c>
      <c r="O207">
        <f>YEAR(Table1[[#This Row],[Date]])</f>
        <v>2025</v>
      </c>
      <c r="P207" t="str">
        <f>TEXT(Table1[[#This Row],[Date]],"MMM")</f>
        <v>Jul</v>
      </c>
      <c r="Q207">
        <f>Table1[[#This Row],[Revenue]]-Table1[[#This Row],[Expenses]]</f>
        <v>73626</v>
      </c>
    </row>
    <row r="208" spans="1:17" x14ac:dyDescent="0.3">
      <c r="A208" s="2">
        <v>45864</v>
      </c>
      <c r="B208" t="s">
        <v>32</v>
      </c>
      <c r="C208" t="s">
        <v>39</v>
      </c>
      <c r="D208">
        <v>117561</v>
      </c>
      <c r="E208">
        <v>33330</v>
      </c>
      <c r="F208">
        <v>1190</v>
      </c>
      <c r="G208">
        <v>119455</v>
      </c>
      <c r="H208" t="s">
        <v>25</v>
      </c>
      <c r="I208" t="s">
        <v>20</v>
      </c>
      <c r="J208" t="s">
        <v>21</v>
      </c>
      <c r="K208" t="s">
        <v>49</v>
      </c>
      <c r="L208" t="s">
        <v>200</v>
      </c>
      <c r="M208">
        <v>75.599999999999994</v>
      </c>
      <c r="N208">
        <v>91787</v>
      </c>
      <c r="O208">
        <f>YEAR(Table1[[#This Row],[Date]])</f>
        <v>2025</v>
      </c>
      <c r="P208" t="str">
        <f>TEXT(Table1[[#This Row],[Date]],"MMM")</f>
        <v>Jul</v>
      </c>
      <c r="Q208">
        <f>Table1[[#This Row],[Revenue]]-Table1[[#This Row],[Expenses]]</f>
        <v>84231</v>
      </c>
    </row>
    <row r="209" spans="1:17" x14ac:dyDescent="0.3">
      <c r="A209" s="2">
        <v>45865</v>
      </c>
      <c r="B209" t="s">
        <v>17</v>
      </c>
      <c r="C209" t="s">
        <v>24</v>
      </c>
      <c r="D209">
        <v>196393</v>
      </c>
      <c r="E209">
        <v>156587</v>
      </c>
      <c r="F209">
        <v>1351</v>
      </c>
      <c r="G209">
        <v>193534</v>
      </c>
      <c r="H209" t="s">
        <v>34</v>
      </c>
      <c r="I209" t="s">
        <v>20</v>
      </c>
      <c r="J209" t="s">
        <v>42</v>
      </c>
      <c r="K209" t="s">
        <v>43</v>
      </c>
      <c r="L209" t="s">
        <v>154</v>
      </c>
      <c r="M209">
        <v>85.7</v>
      </c>
      <c r="N209">
        <v>37463</v>
      </c>
      <c r="O209">
        <f>YEAR(Table1[[#This Row],[Date]])</f>
        <v>2025</v>
      </c>
      <c r="P209" t="str">
        <f>TEXT(Table1[[#This Row],[Date]],"MMM")</f>
        <v>Jul</v>
      </c>
      <c r="Q209">
        <f>Table1[[#This Row],[Revenue]]-Table1[[#This Row],[Expenses]]</f>
        <v>39806</v>
      </c>
    </row>
    <row r="210" spans="1:17" x14ac:dyDescent="0.3">
      <c r="A210" s="2">
        <v>45866</v>
      </c>
      <c r="B210" t="s">
        <v>28</v>
      </c>
      <c r="C210" t="s">
        <v>18</v>
      </c>
      <c r="D210">
        <v>60203</v>
      </c>
      <c r="E210">
        <v>47152</v>
      </c>
      <c r="F210">
        <v>301</v>
      </c>
      <c r="G210">
        <v>63453</v>
      </c>
      <c r="H210" t="s">
        <v>34</v>
      </c>
      <c r="I210" t="s">
        <v>26</v>
      </c>
      <c r="J210" t="s">
        <v>51</v>
      </c>
      <c r="K210" t="s">
        <v>52</v>
      </c>
      <c r="L210" t="s">
        <v>60</v>
      </c>
      <c r="M210">
        <v>97.3</v>
      </c>
      <c r="N210">
        <v>13922</v>
      </c>
      <c r="O210">
        <f>YEAR(Table1[[#This Row],[Date]])</f>
        <v>2025</v>
      </c>
      <c r="P210" t="str">
        <f>TEXT(Table1[[#This Row],[Date]],"MMM")</f>
        <v>Jul</v>
      </c>
      <c r="Q210">
        <f>Table1[[#This Row],[Revenue]]-Table1[[#This Row],[Expenses]]</f>
        <v>13051</v>
      </c>
    </row>
    <row r="211" spans="1:17" x14ac:dyDescent="0.3">
      <c r="A211" s="2">
        <v>45867</v>
      </c>
      <c r="B211" t="s">
        <v>45</v>
      </c>
      <c r="C211" t="s">
        <v>18</v>
      </c>
      <c r="D211">
        <v>293093</v>
      </c>
      <c r="E211">
        <v>231441</v>
      </c>
      <c r="F211">
        <v>706</v>
      </c>
      <c r="G211">
        <v>296010</v>
      </c>
      <c r="H211" t="s">
        <v>54</v>
      </c>
      <c r="I211" t="s">
        <v>26</v>
      </c>
      <c r="J211" t="s">
        <v>21</v>
      </c>
      <c r="K211" t="s">
        <v>35</v>
      </c>
      <c r="L211" t="s">
        <v>61</v>
      </c>
      <c r="M211">
        <v>88.8</v>
      </c>
      <c r="N211">
        <v>56609</v>
      </c>
      <c r="O211">
        <f>YEAR(Table1[[#This Row],[Date]])</f>
        <v>2025</v>
      </c>
      <c r="P211" t="str">
        <f>TEXT(Table1[[#This Row],[Date]],"MMM")</f>
        <v>Jul</v>
      </c>
      <c r="Q211">
        <f>Table1[[#This Row],[Revenue]]-Table1[[#This Row],[Expenses]]</f>
        <v>61652</v>
      </c>
    </row>
    <row r="212" spans="1:17" x14ac:dyDescent="0.3">
      <c r="A212" s="2">
        <v>45868</v>
      </c>
      <c r="B212" t="s">
        <v>45</v>
      </c>
      <c r="C212" t="s">
        <v>24</v>
      </c>
      <c r="D212">
        <v>54480</v>
      </c>
      <c r="E212">
        <v>40988</v>
      </c>
      <c r="F212">
        <v>1009</v>
      </c>
      <c r="G212">
        <v>56339</v>
      </c>
      <c r="H212" t="s">
        <v>25</v>
      </c>
      <c r="I212" t="s">
        <v>20</v>
      </c>
      <c r="J212" t="s">
        <v>51</v>
      </c>
      <c r="K212" t="s">
        <v>49</v>
      </c>
      <c r="L212" t="s">
        <v>145</v>
      </c>
      <c r="M212">
        <v>93.3</v>
      </c>
      <c r="N212">
        <v>13941</v>
      </c>
      <c r="O212">
        <f>YEAR(Table1[[#This Row],[Date]])</f>
        <v>2025</v>
      </c>
      <c r="P212" t="str">
        <f>TEXT(Table1[[#This Row],[Date]],"MMM")</f>
        <v>Jul</v>
      </c>
      <c r="Q212">
        <f>Table1[[#This Row],[Revenue]]-Table1[[#This Row],[Expenses]]</f>
        <v>13492</v>
      </c>
    </row>
    <row r="213" spans="1:17" x14ac:dyDescent="0.3">
      <c r="A213" s="2">
        <v>45869</v>
      </c>
      <c r="B213" t="s">
        <v>45</v>
      </c>
      <c r="C213" t="s">
        <v>48</v>
      </c>
      <c r="D213">
        <v>159355</v>
      </c>
      <c r="E213">
        <v>81706</v>
      </c>
      <c r="F213">
        <v>1136</v>
      </c>
      <c r="G213">
        <v>150931</v>
      </c>
      <c r="H213" t="s">
        <v>25</v>
      </c>
      <c r="I213" t="s">
        <v>37</v>
      </c>
      <c r="J213" t="s">
        <v>3</v>
      </c>
      <c r="K213" t="s">
        <v>49</v>
      </c>
      <c r="L213" t="s">
        <v>112</v>
      </c>
      <c r="M213">
        <v>95.5</v>
      </c>
      <c r="N213">
        <v>76929</v>
      </c>
      <c r="O213">
        <f>YEAR(Table1[[#This Row],[Date]])</f>
        <v>2025</v>
      </c>
      <c r="P213" t="str">
        <f>TEXT(Table1[[#This Row],[Date]],"MMM")</f>
        <v>Jul</v>
      </c>
      <c r="Q213">
        <f>Table1[[#This Row],[Revenue]]-Table1[[#This Row],[Expenses]]</f>
        <v>77649</v>
      </c>
    </row>
    <row r="214" spans="1:17" x14ac:dyDescent="0.3">
      <c r="A214" s="2">
        <v>45870</v>
      </c>
      <c r="B214" t="s">
        <v>32</v>
      </c>
      <c r="C214" t="s">
        <v>24</v>
      </c>
      <c r="D214">
        <v>246738</v>
      </c>
      <c r="E214">
        <v>61687</v>
      </c>
      <c r="F214">
        <v>1430</v>
      </c>
      <c r="G214">
        <v>235740</v>
      </c>
      <c r="H214" t="s">
        <v>19</v>
      </c>
      <c r="I214" t="s">
        <v>26</v>
      </c>
      <c r="J214" t="s">
        <v>3</v>
      </c>
      <c r="K214" t="s">
        <v>52</v>
      </c>
      <c r="L214" t="s">
        <v>201</v>
      </c>
      <c r="M214">
        <v>91.5</v>
      </c>
      <c r="N214">
        <v>168140</v>
      </c>
      <c r="O214">
        <f>YEAR(Table1[[#This Row],[Date]])</f>
        <v>2025</v>
      </c>
      <c r="P214" t="str">
        <f>TEXT(Table1[[#This Row],[Date]],"MMM")</f>
        <v>Aug</v>
      </c>
      <c r="Q214">
        <f>Table1[[#This Row],[Revenue]]-Table1[[#This Row],[Expenses]]</f>
        <v>185051</v>
      </c>
    </row>
    <row r="215" spans="1:17" x14ac:dyDescent="0.3">
      <c r="A215" s="2">
        <v>45871</v>
      </c>
      <c r="B215" t="s">
        <v>17</v>
      </c>
      <c r="C215" t="s">
        <v>48</v>
      </c>
      <c r="D215">
        <v>190686</v>
      </c>
      <c r="E215">
        <v>53552</v>
      </c>
      <c r="F215">
        <v>241</v>
      </c>
      <c r="G215">
        <v>175036</v>
      </c>
      <c r="H215" t="s">
        <v>19</v>
      </c>
      <c r="I215" t="s">
        <v>37</v>
      </c>
      <c r="J215" t="s">
        <v>42</v>
      </c>
      <c r="K215" t="s">
        <v>24</v>
      </c>
      <c r="L215" t="s">
        <v>202</v>
      </c>
      <c r="M215">
        <v>93.9</v>
      </c>
      <c r="N215">
        <v>138364</v>
      </c>
      <c r="O215">
        <f>YEAR(Table1[[#This Row],[Date]])</f>
        <v>2025</v>
      </c>
      <c r="P215" t="str">
        <f>TEXT(Table1[[#This Row],[Date]],"MMM")</f>
        <v>Aug</v>
      </c>
      <c r="Q215">
        <f>Table1[[#This Row],[Revenue]]-Table1[[#This Row],[Expenses]]</f>
        <v>137134</v>
      </c>
    </row>
    <row r="216" spans="1:17" x14ac:dyDescent="0.3">
      <c r="A216" s="2">
        <v>45872</v>
      </c>
      <c r="B216" t="s">
        <v>17</v>
      </c>
      <c r="C216" t="s">
        <v>33</v>
      </c>
      <c r="D216">
        <v>256867</v>
      </c>
      <c r="E216">
        <v>57594</v>
      </c>
      <c r="F216">
        <v>1213</v>
      </c>
      <c r="G216">
        <v>260274</v>
      </c>
      <c r="H216" t="s">
        <v>25</v>
      </c>
      <c r="I216" t="s">
        <v>26</v>
      </c>
      <c r="J216" t="s">
        <v>29</v>
      </c>
      <c r="K216" t="s">
        <v>52</v>
      </c>
      <c r="L216" t="s">
        <v>119</v>
      </c>
      <c r="M216">
        <v>90.7</v>
      </c>
      <c r="N216">
        <v>212887</v>
      </c>
      <c r="O216">
        <f>YEAR(Table1[[#This Row],[Date]])</f>
        <v>2025</v>
      </c>
      <c r="P216" t="str">
        <f>TEXT(Table1[[#This Row],[Date]],"MMM")</f>
        <v>Aug</v>
      </c>
      <c r="Q216">
        <f>Table1[[#This Row],[Revenue]]-Table1[[#This Row],[Expenses]]</f>
        <v>199273</v>
      </c>
    </row>
    <row r="217" spans="1:17" x14ac:dyDescent="0.3">
      <c r="A217" s="2">
        <v>45873</v>
      </c>
      <c r="B217" t="s">
        <v>17</v>
      </c>
      <c r="C217" t="s">
        <v>39</v>
      </c>
      <c r="D217">
        <v>264700</v>
      </c>
      <c r="E217">
        <v>158549</v>
      </c>
      <c r="F217">
        <v>338</v>
      </c>
      <c r="G217">
        <v>271319</v>
      </c>
      <c r="H217" t="s">
        <v>34</v>
      </c>
      <c r="I217" t="s">
        <v>26</v>
      </c>
      <c r="J217" t="s">
        <v>21</v>
      </c>
      <c r="K217" t="s">
        <v>46</v>
      </c>
      <c r="L217" t="s">
        <v>176</v>
      </c>
      <c r="M217">
        <v>86.9</v>
      </c>
      <c r="N217">
        <v>110048</v>
      </c>
      <c r="O217">
        <f>YEAR(Table1[[#This Row],[Date]])</f>
        <v>2025</v>
      </c>
      <c r="P217" t="str">
        <f>TEXT(Table1[[#This Row],[Date]],"MMM")</f>
        <v>Aug</v>
      </c>
      <c r="Q217">
        <f>Table1[[#This Row],[Revenue]]-Table1[[#This Row],[Expenses]]</f>
        <v>106151</v>
      </c>
    </row>
    <row r="218" spans="1:17" x14ac:dyDescent="0.3">
      <c r="A218" s="2">
        <v>45874</v>
      </c>
      <c r="B218" t="s">
        <v>32</v>
      </c>
      <c r="C218" t="s">
        <v>39</v>
      </c>
      <c r="D218">
        <v>66277</v>
      </c>
      <c r="E218">
        <v>37310</v>
      </c>
      <c r="F218">
        <v>1493</v>
      </c>
      <c r="G218">
        <v>70099</v>
      </c>
      <c r="H218" t="s">
        <v>54</v>
      </c>
      <c r="I218" t="s">
        <v>20</v>
      </c>
      <c r="J218" t="s">
        <v>29</v>
      </c>
      <c r="K218" t="s">
        <v>52</v>
      </c>
      <c r="L218" t="s">
        <v>203</v>
      </c>
      <c r="M218">
        <v>79.3</v>
      </c>
      <c r="N218">
        <v>29380</v>
      </c>
      <c r="O218">
        <f>YEAR(Table1[[#This Row],[Date]])</f>
        <v>2025</v>
      </c>
      <c r="P218" t="str">
        <f>TEXT(Table1[[#This Row],[Date]],"MMM")</f>
        <v>Aug</v>
      </c>
      <c r="Q218">
        <f>Table1[[#This Row],[Revenue]]-Table1[[#This Row],[Expenses]]</f>
        <v>28967</v>
      </c>
    </row>
    <row r="219" spans="1:17" x14ac:dyDescent="0.3">
      <c r="A219" s="2">
        <v>45875</v>
      </c>
      <c r="B219" t="s">
        <v>17</v>
      </c>
      <c r="C219" t="s">
        <v>48</v>
      </c>
      <c r="D219">
        <v>217815</v>
      </c>
      <c r="E219">
        <v>34943</v>
      </c>
      <c r="F219">
        <v>799</v>
      </c>
      <c r="G219">
        <v>234088</v>
      </c>
      <c r="H219" t="s">
        <v>25</v>
      </c>
      <c r="I219" t="s">
        <v>20</v>
      </c>
      <c r="J219" t="s">
        <v>29</v>
      </c>
      <c r="K219" t="s">
        <v>35</v>
      </c>
      <c r="L219" t="s">
        <v>120</v>
      </c>
      <c r="M219">
        <v>98.4</v>
      </c>
      <c r="N219">
        <v>169890</v>
      </c>
      <c r="O219">
        <f>YEAR(Table1[[#This Row],[Date]])</f>
        <v>2025</v>
      </c>
      <c r="P219" t="str">
        <f>TEXT(Table1[[#This Row],[Date]],"MMM")</f>
        <v>Aug</v>
      </c>
      <c r="Q219">
        <f>Table1[[#This Row],[Revenue]]-Table1[[#This Row],[Expenses]]</f>
        <v>182872</v>
      </c>
    </row>
    <row r="220" spans="1:17" x14ac:dyDescent="0.3">
      <c r="A220" s="2">
        <v>45876</v>
      </c>
      <c r="B220" t="s">
        <v>28</v>
      </c>
      <c r="C220" t="s">
        <v>48</v>
      </c>
      <c r="D220">
        <v>86731</v>
      </c>
      <c r="E220">
        <v>65810</v>
      </c>
      <c r="F220">
        <v>1052</v>
      </c>
      <c r="G220">
        <v>78571</v>
      </c>
      <c r="H220" t="s">
        <v>34</v>
      </c>
      <c r="I220" t="s">
        <v>26</v>
      </c>
      <c r="J220" t="s">
        <v>42</v>
      </c>
      <c r="K220" t="s">
        <v>49</v>
      </c>
      <c r="L220" t="s">
        <v>50</v>
      </c>
      <c r="M220">
        <v>89.3</v>
      </c>
      <c r="N220">
        <v>19720</v>
      </c>
      <c r="O220">
        <f>YEAR(Table1[[#This Row],[Date]])</f>
        <v>2025</v>
      </c>
      <c r="P220" t="str">
        <f>TEXT(Table1[[#This Row],[Date]],"MMM")</f>
        <v>Aug</v>
      </c>
      <c r="Q220">
        <f>Table1[[#This Row],[Revenue]]-Table1[[#This Row],[Expenses]]</f>
        <v>20921</v>
      </c>
    </row>
    <row r="221" spans="1:17" x14ac:dyDescent="0.3">
      <c r="A221" s="2">
        <v>45877</v>
      </c>
      <c r="B221" t="s">
        <v>45</v>
      </c>
      <c r="C221" t="s">
        <v>24</v>
      </c>
      <c r="D221">
        <v>98473</v>
      </c>
      <c r="E221">
        <v>48411</v>
      </c>
      <c r="F221">
        <v>1243</v>
      </c>
      <c r="G221">
        <v>98120</v>
      </c>
      <c r="H221" t="s">
        <v>58</v>
      </c>
      <c r="I221" t="s">
        <v>26</v>
      </c>
      <c r="J221" t="s">
        <v>3</v>
      </c>
      <c r="K221" t="s">
        <v>55</v>
      </c>
      <c r="L221" t="s">
        <v>204</v>
      </c>
      <c r="M221">
        <v>81.8</v>
      </c>
      <c r="N221">
        <v>50153</v>
      </c>
      <c r="O221">
        <f>YEAR(Table1[[#This Row],[Date]])</f>
        <v>2025</v>
      </c>
      <c r="P221" t="str">
        <f>TEXT(Table1[[#This Row],[Date]],"MMM")</f>
        <v>Aug</v>
      </c>
      <c r="Q221">
        <f>Table1[[#This Row],[Revenue]]-Table1[[#This Row],[Expenses]]</f>
        <v>50062</v>
      </c>
    </row>
    <row r="222" spans="1:17" x14ac:dyDescent="0.3">
      <c r="A222" s="2">
        <v>45878</v>
      </c>
      <c r="B222" t="s">
        <v>28</v>
      </c>
      <c r="C222" t="s">
        <v>39</v>
      </c>
      <c r="D222">
        <v>50074</v>
      </c>
      <c r="E222">
        <v>38666</v>
      </c>
      <c r="F222">
        <v>601</v>
      </c>
      <c r="G222">
        <v>51839</v>
      </c>
      <c r="H222" t="s">
        <v>34</v>
      </c>
      <c r="I222" t="s">
        <v>20</v>
      </c>
      <c r="J222" t="s">
        <v>29</v>
      </c>
      <c r="K222" t="s">
        <v>35</v>
      </c>
      <c r="L222" t="s">
        <v>205</v>
      </c>
      <c r="M222">
        <v>79.7</v>
      </c>
      <c r="N222">
        <v>10388</v>
      </c>
      <c r="O222">
        <f>YEAR(Table1[[#This Row],[Date]])</f>
        <v>2025</v>
      </c>
      <c r="P222" t="str">
        <f>TEXT(Table1[[#This Row],[Date]],"MMM")</f>
        <v>Aug</v>
      </c>
      <c r="Q222">
        <f>Table1[[#This Row],[Revenue]]-Table1[[#This Row],[Expenses]]</f>
        <v>11408</v>
      </c>
    </row>
    <row r="223" spans="1:17" x14ac:dyDescent="0.3">
      <c r="A223" s="2">
        <v>45879</v>
      </c>
      <c r="B223" t="s">
        <v>45</v>
      </c>
      <c r="C223" t="s">
        <v>48</v>
      </c>
      <c r="D223">
        <v>246409</v>
      </c>
      <c r="E223">
        <v>151119</v>
      </c>
      <c r="F223">
        <v>1150</v>
      </c>
      <c r="G223">
        <v>232495</v>
      </c>
      <c r="H223" t="s">
        <v>34</v>
      </c>
      <c r="I223" t="s">
        <v>26</v>
      </c>
      <c r="J223" t="s">
        <v>3</v>
      </c>
      <c r="K223" t="s">
        <v>30</v>
      </c>
      <c r="L223" t="s">
        <v>123</v>
      </c>
      <c r="M223">
        <v>76.099999999999994</v>
      </c>
      <c r="N223">
        <v>104276</v>
      </c>
      <c r="O223">
        <f>YEAR(Table1[[#This Row],[Date]])</f>
        <v>2025</v>
      </c>
      <c r="P223" t="str">
        <f>TEXT(Table1[[#This Row],[Date]],"MMM")</f>
        <v>Aug</v>
      </c>
      <c r="Q223">
        <f>Table1[[#This Row],[Revenue]]-Table1[[#This Row],[Expenses]]</f>
        <v>95290</v>
      </c>
    </row>
    <row r="224" spans="1:17" x14ac:dyDescent="0.3">
      <c r="A224" s="2">
        <v>45880</v>
      </c>
      <c r="B224" t="s">
        <v>45</v>
      </c>
      <c r="C224" t="s">
        <v>39</v>
      </c>
      <c r="D224">
        <v>226111</v>
      </c>
      <c r="E224">
        <v>67719</v>
      </c>
      <c r="F224">
        <v>1443</v>
      </c>
      <c r="G224">
        <v>240980</v>
      </c>
      <c r="H224" t="s">
        <v>19</v>
      </c>
      <c r="I224" t="s">
        <v>20</v>
      </c>
      <c r="J224" t="s">
        <v>3</v>
      </c>
      <c r="K224" t="s">
        <v>22</v>
      </c>
      <c r="L224" t="s">
        <v>88</v>
      </c>
      <c r="M224">
        <v>95.9</v>
      </c>
      <c r="N224">
        <v>146193</v>
      </c>
      <c r="O224">
        <f>YEAR(Table1[[#This Row],[Date]])</f>
        <v>2025</v>
      </c>
      <c r="P224" t="str">
        <f>TEXT(Table1[[#This Row],[Date]],"MMM")</f>
        <v>Aug</v>
      </c>
      <c r="Q224">
        <f>Table1[[#This Row],[Revenue]]-Table1[[#This Row],[Expenses]]</f>
        <v>158392</v>
      </c>
    </row>
    <row r="225" spans="1:17" x14ac:dyDescent="0.3">
      <c r="A225" s="2">
        <v>45881</v>
      </c>
      <c r="B225" t="s">
        <v>45</v>
      </c>
      <c r="C225" t="s">
        <v>39</v>
      </c>
      <c r="D225">
        <v>53826</v>
      </c>
      <c r="E225">
        <v>30182</v>
      </c>
      <c r="F225">
        <v>802</v>
      </c>
      <c r="G225">
        <v>57991</v>
      </c>
      <c r="H225" t="s">
        <v>25</v>
      </c>
      <c r="I225" t="s">
        <v>37</v>
      </c>
      <c r="J225" t="s">
        <v>51</v>
      </c>
      <c r="K225" t="s">
        <v>43</v>
      </c>
      <c r="L225" t="s">
        <v>77</v>
      </c>
      <c r="M225">
        <v>81.900000000000006</v>
      </c>
      <c r="N225">
        <v>21764</v>
      </c>
      <c r="O225">
        <f>YEAR(Table1[[#This Row],[Date]])</f>
        <v>2025</v>
      </c>
      <c r="P225" t="str">
        <f>TEXT(Table1[[#This Row],[Date]],"MMM")</f>
        <v>Aug</v>
      </c>
      <c r="Q225">
        <f>Table1[[#This Row],[Revenue]]-Table1[[#This Row],[Expenses]]</f>
        <v>23644</v>
      </c>
    </row>
    <row r="226" spans="1:17" x14ac:dyDescent="0.3">
      <c r="A226" s="2">
        <v>45882</v>
      </c>
      <c r="B226" t="s">
        <v>45</v>
      </c>
      <c r="C226" t="s">
        <v>48</v>
      </c>
      <c r="D226">
        <v>190878</v>
      </c>
      <c r="E226">
        <v>37230</v>
      </c>
      <c r="F226">
        <v>1298</v>
      </c>
      <c r="G226">
        <v>207237</v>
      </c>
      <c r="H226" t="s">
        <v>19</v>
      </c>
      <c r="I226" t="s">
        <v>20</v>
      </c>
      <c r="J226" t="s">
        <v>51</v>
      </c>
      <c r="K226" t="s">
        <v>49</v>
      </c>
      <c r="L226" t="s">
        <v>206</v>
      </c>
      <c r="M226">
        <v>91.5</v>
      </c>
      <c r="N226">
        <v>160882</v>
      </c>
      <c r="O226">
        <f>YEAR(Table1[[#This Row],[Date]])</f>
        <v>2025</v>
      </c>
      <c r="P226" t="str">
        <f>TEXT(Table1[[#This Row],[Date]],"MMM")</f>
        <v>Aug</v>
      </c>
      <c r="Q226">
        <f>Table1[[#This Row],[Revenue]]-Table1[[#This Row],[Expenses]]</f>
        <v>153648</v>
      </c>
    </row>
    <row r="227" spans="1:17" x14ac:dyDescent="0.3">
      <c r="A227" s="2">
        <v>45883</v>
      </c>
      <c r="B227" t="s">
        <v>45</v>
      </c>
      <c r="C227" t="s">
        <v>33</v>
      </c>
      <c r="D227">
        <v>260719</v>
      </c>
      <c r="E227">
        <v>91422</v>
      </c>
      <c r="F227">
        <v>1084</v>
      </c>
      <c r="G227">
        <v>249019</v>
      </c>
      <c r="H227" t="s">
        <v>54</v>
      </c>
      <c r="I227" t="s">
        <v>37</v>
      </c>
      <c r="J227" t="s">
        <v>51</v>
      </c>
      <c r="K227" t="s">
        <v>55</v>
      </c>
      <c r="L227" t="s">
        <v>85</v>
      </c>
      <c r="M227">
        <v>90.9</v>
      </c>
      <c r="N227">
        <v>184818</v>
      </c>
      <c r="O227">
        <f>YEAR(Table1[[#This Row],[Date]])</f>
        <v>2025</v>
      </c>
      <c r="P227" t="str">
        <f>TEXT(Table1[[#This Row],[Date]],"MMM")</f>
        <v>Aug</v>
      </c>
      <c r="Q227">
        <f>Table1[[#This Row],[Revenue]]-Table1[[#This Row],[Expenses]]</f>
        <v>169297</v>
      </c>
    </row>
    <row r="228" spans="1:17" x14ac:dyDescent="0.3">
      <c r="A228" s="2">
        <v>45884</v>
      </c>
      <c r="B228" t="s">
        <v>32</v>
      </c>
      <c r="C228" t="s">
        <v>41</v>
      </c>
      <c r="D228">
        <v>248588</v>
      </c>
      <c r="E228">
        <v>183184</v>
      </c>
      <c r="F228">
        <v>487</v>
      </c>
      <c r="G228">
        <v>229051</v>
      </c>
      <c r="H228" t="s">
        <v>25</v>
      </c>
      <c r="I228" t="s">
        <v>37</v>
      </c>
      <c r="J228" t="s">
        <v>29</v>
      </c>
      <c r="K228" t="s">
        <v>24</v>
      </c>
      <c r="L228" t="s">
        <v>121</v>
      </c>
      <c r="M228">
        <v>95</v>
      </c>
      <c r="N228">
        <v>67340</v>
      </c>
      <c r="O228">
        <f>YEAR(Table1[[#This Row],[Date]])</f>
        <v>2025</v>
      </c>
      <c r="P228" t="str">
        <f>TEXT(Table1[[#This Row],[Date]],"MMM")</f>
        <v>Aug</v>
      </c>
      <c r="Q228">
        <f>Table1[[#This Row],[Revenue]]-Table1[[#This Row],[Expenses]]</f>
        <v>65404</v>
      </c>
    </row>
    <row r="229" spans="1:17" x14ac:dyDescent="0.3">
      <c r="A229" s="2">
        <v>45885</v>
      </c>
      <c r="B229" t="s">
        <v>17</v>
      </c>
      <c r="C229" t="s">
        <v>48</v>
      </c>
      <c r="D229">
        <v>113386</v>
      </c>
      <c r="E229">
        <v>71068</v>
      </c>
      <c r="F229">
        <v>315</v>
      </c>
      <c r="G229">
        <v>107730</v>
      </c>
      <c r="H229" t="s">
        <v>54</v>
      </c>
      <c r="I229" t="s">
        <v>26</v>
      </c>
      <c r="J229" t="s">
        <v>29</v>
      </c>
      <c r="K229" t="s">
        <v>35</v>
      </c>
      <c r="L229" t="s">
        <v>203</v>
      </c>
      <c r="M229">
        <v>85.2</v>
      </c>
      <c r="N229">
        <v>38961</v>
      </c>
      <c r="O229">
        <f>YEAR(Table1[[#This Row],[Date]])</f>
        <v>2025</v>
      </c>
      <c r="P229" t="str">
        <f>TEXT(Table1[[#This Row],[Date]],"MMM")</f>
        <v>Aug</v>
      </c>
      <c r="Q229">
        <f>Table1[[#This Row],[Revenue]]-Table1[[#This Row],[Expenses]]</f>
        <v>42318</v>
      </c>
    </row>
    <row r="230" spans="1:17" x14ac:dyDescent="0.3">
      <c r="A230" s="2">
        <v>45886</v>
      </c>
      <c r="B230" t="s">
        <v>28</v>
      </c>
      <c r="C230" t="s">
        <v>33</v>
      </c>
      <c r="D230">
        <v>230295</v>
      </c>
      <c r="E230">
        <v>146985</v>
      </c>
      <c r="F230">
        <v>604</v>
      </c>
      <c r="G230">
        <v>243974</v>
      </c>
      <c r="H230" t="s">
        <v>54</v>
      </c>
      <c r="I230" t="s">
        <v>26</v>
      </c>
      <c r="J230" t="s">
        <v>42</v>
      </c>
      <c r="K230" t="s">
        <v>46</v>
      </c>
      <c r="L230" t="s">
        <v>155</v>
      </c>
      <c r="M230">
        <v>75.400000000000006</v>
      </c>
      <c r="N230">
        <v>83356</v>
      </c>
      <c r="O230">
        <f>YEAR(Table1[[#This Row],[Date]])</f>
        <v>2025</v>
      </c>
      <c r="P230" t="str">
        <f>TEXT(Table1[[#This Row],[Date]],"MMM")</f>
        <v>Aug</v>
      </c>
      <c r="Q230">
        <f>Table1[[#This Row],[Revenue]]-Table1[[#This Row],[Expenses]]</f>
        <v>83310</v>
      </c>
    </row>
    <row r="231" spans="1:17" x14ac:dyDescent="0.3">
      <c r="A231" s="2">
        <v>45887</v>
      </c>
      <c r="B231" t="s">
        <v>45</v>
      </c>
      <c r="C231" t="s">
        <v>39</v>
      </c>
      <c r="D231">
        <v>71080</v>
      </c>
      <c r="E231">
        <v>33895</v>
      </c>
      <c r="F231">
        <v>573</v>
      </c>
      <c r="G231">
        <v>76669</v>
      </c>
      <c r="H231" t="s">
        <v>58</v>
      </c>
      <c r="I231" t="s">
        <v>20</v>
      </c>
      <c r="J231" t="s">
        <v>51</v>
      </c>
      <c r="K231" t="s">
        <v>30</v>
      </c>
      <c r="L231" t="s">
        <v>207</v>
      </c>
      <c r="M231">
        <v>96</v>
      </c>
      <c r="N231">
        <v>38613</v>
      </c>
      <c r="O231">
        <f>YEAR(Table1[[#This Row],[Date]])</f>
        <v>2025</v>
      </c>
      <c r="P231" t="str">
        <f>TEXT(Table1[[#This Row],[Date]],"MMM")</f>
        <v>Aug</v>
      </c>
      <c r="Q231">
        <f>Table1[[#This Row],[Revenue]]-Table1[[#This Row],[Expenses]]</f>
        <v>37185</v>
      </c>
    </row>
    <row r="232" spans="1:17" x14ac:dyDescent="0.3">
      <c r="A232" s="2">
        <v>45888</v>
      </c>
      <c r="B232" t="s">
        <v>28</v>
      </c>
      <c r="C232" t="s">
        <v>33</v>
      </c>
      <c r="D232">
        <v>231341</v>
      </c>
      <c r="E232">
        <v>57031</v>
      </c>
      <c r="F232">
        <v>401</v>
      </c>
      <c r="G232">
        <v>210582</v>
      </c>
      <c r="H232" t="s">
        <v>34</v>
      </c>
      <c r="I232" t="s">
        <v>20</v>
      </c>
      <c r="J232" t="s">
        <v>29</v>
      </c>
      <c r="K232" t="s">
        <v>43</v>
      </c>
      <c r="L232" t="s">
        <v>159</v>
      </c>
      <c r="M232">
        <v>79.8</v>
      </c>
      <c r="N232">
        <v>157718</v>
      </c>
      <c r="O232">
        <f>YEAR(Table1[[#This Row],[Date]])</f>
        <v>2025</v>
      </c>
      <c r="P232" t="str">
        <f>TEXT(Table1[[#This Row],[Date]],"MMM")</f>
        <v>Aug</v>
      </c>
      <c r="Q232">
        <f>Table1[[#This Row],[Revenue]]-Table1[[#This Row],[Expenses]]</f>
        <v>174310</v>
      </c>
    </row>
    <row r="233" spans="1:17" x14ac:dyDescent="0.3">
      <c r="A233" s="2">
        <v>45889</v>
      </c>
      <c r="B233" t="s">
        <v>45</v>
      </c>
      <c r="C233" t="s">
        <v>33</v>
      </c>
      <c r="D233">
        <v>147544</v>
      </c>
      <c r="E233">
        <v>81927</v>
      </c>
      <c r="F233">
        <v>229</v>
      </c>
      <c r="G233">
        <v>161074</v>
      </c>
      <c r="H233" t="s">
        <v>25</v>
      </c>
      <c r="I233" t="s">
        <v>37</v>
      </c>
      <c r="J233" t="s">
        <v>51</v>
      </c>
      <c r="K233" t="s">
        <v>24</v>
      </c>
      <c r="L233" t="s">
        <v>208</v>
      </c>
      <c r="M233">
        <v>84.2</v>
      </c>
      <c r="N233">
        <v>67883</v>
      </c>
      <c r="O233">
        <f>YEAR(Table1[[#This Row],[Date]])</f>
        <v>2025</v>
      </c>
      <c r="P233" t="str">
        <f>TEXT(Table1[[#This Row],[Date]],"MMM")</f>
        <v>Aug</v>
      </c>
      <c r="Q233">
        <f>Table1[[#This Row],[Revenue]]-Table1[[#This Row],[Expenses]]</f>
        <v>65617</v>
      </c>
    </row>
    <row r="234" spans="1:17" x14ac:dyDescent="0.3">
      <c r="A234" s="2">
        <v>45890</v>
      </c>
      <c r="B234" t="s">
        <v>45</v>
      </c>
      <c r="C234" t="s">
        <v>48</v>
      </c>
      <c r="D234">
        <v>246590</v>
      </c>
      <c r="E234">
        <v>104681</v>
      </c>
      <c r="F234">
        <v>1306</v>
      </c>
      <c r="G234">
        <v>228618</v>
      </c>
      <c r="H234" t="s">
        <v>34</v>
      </c>
      <c r="I234" t="s">
        <v>20</v>
      </c>
      <c r="J234" t="s">
        <v>21</v>
      </c>
      <c r="K234" t="s">
        <v>52</v>
      </c>
      <c r="L234" t="s">
        <v>84</v>
      </c>
      <c r="M234">
        <v>88.7</v>
      </c>
      <c r="N234">
        <v>131868</v>
      </c>
      <c r="O234">
        <f>YEAR(Table1[[#This Row],[Date]])</f>
        <v>2025</v>
      </c>
      <c r="P234" t="str">
        <f>TEXT(Table1[[#This Row],[Date]],"MMM")</f>
        <v>Aug</v>
      </c>
      <c r="Q234">
        <f>Table1[[#This Row],[Revenue]]-Table1[[#This Row],[Expenses]]</f>
        <v>141909</v>
      </c>
    </row>
    <row r="235" spans="1:17" x14ac:dyDescent="0.3">
      <c r="A235" s="2">
        <v>45891</v>
      </c>
      <c r="B235" t="s">
        <v>45</v>
      </c>
      <c r="C235" t="s">
        <v>33</v>
      </c>
      <c r="D235">
        <v>238351</v>
      </c>
      <c r="E235">
        <v>64537</v>
      </c>
      <c r="F235">
        <v>813</v>
      </c>
      <c r="G235">
        <v>227230</v>
      </c>
      <c r="H235" t="s">
        <v>34</v>
      </c>
      <c r="I235" t="s">
        <v>26</v>
      </c>
      <c r="J235" t="s">
        <v>29</v>
      </c>
      <c r="K235" t="s">
        <v>24</v>
      </c>
      <c r="L235" t="s">
        <v>209</v>
      </c>
      <c r="M235">
        <v>87.1</v>
      </c>
      <c r="N235">
        <v>176512</v>
      </c>
      <c r="O235">
        <f>YEAR(Table1[[#This Row],[Date]])</f>
        <v>2025</v>
      </c>
      <c r="P235" t="str">
        <f>TEXT(Table1[[#This Row],[Date]],"MMM")</f>
        <v>Aug</v>
      </c>
      <c r="Q235">
        <f>Table1[[#This Row],[Revenue]]-Table1[[#This Row],[Expenses]]</f>
        <v>173814</v>
      </c>
    </row>
    <row r="236" spans="1:17" x14ac:dyDescent="0.3">
      <c r="A236" s="2">
        <v>45892</v>
      </c>
      <c r="B236" t="s">
        <v>17</v>
      </c>
      <c r="C236" t="s">
        <v>24</v>
      </c>
      <c r="D236">
        <v>86408</v>
      </c>
      <c r="E236">
        <v>49235</v>
      </c>
      <c r="F236">
        <v>1026</v>
      </c>
      <c r="G236">
        <v>83501</v>
      </c>
      <c r="H236" t="s">
        <v>58</v>
      </c>
      <c r="I236" t="s">
        <v>37</v>
      </c>
      <c r="J236" t="s">
        <v>21</v>
      </c>
      <c r="K236" t="s">
        <v>55</v>
      </c>
      <c r="L236" t="s">
        <v>210</v>
      </c>
      <c r="M236">
        <v>96.1</v>
      </c>
      <c r="N236">
        <v>36344</v>
      </c>
      <c r="O236">
        <f>YEAR(Table1[[#This Row],[Date]])</f>
        <v>2025</v>
      </c>
      <c r="P236" t="str">
        <f>TEXT(Table1[[#This Row],[Date]],"MMM")</f>
        <v>Aug</v>
      </c>
      <c r="Q236">
        <f>Table1[[#This Row],[Revenue]]-Table1[[#This Row],[Expenses]]</f>
        <v>37173</v>
      </c>
    </row>
    <row r="237" spans="1:17" x14ac:dyDescent="0.3">
      <c r="A237" s="2">
        <v>45893</v>
      </c>
      <c r="B237" t="s">
        <v>28</v>
      </c>
      <c r="C237" t="s">
        <v>41</v>
      </c>
      <c r="D237">
        <v>267384</v>
      </c>
      <c r="E237">
        <v>63085</v>
      </c>
      <c r="F237">
        <v>852</v>
      </c>
      <c r="G237">
        <v>274652</v>
      </c>
      <c r="H237" t="s">
        <v>25</v>
      </c>
      <c r="I237" t="s">
        <v>37</v>
      </c>
      <c r="J237" t="s">
        <v>51</v>
      </c>
      <c r="K237" t="s">
        <v>30</v>
      </c>
      <c r="L237" t="s">
        <v>211</v>
      </c>
      <c r="M237">
        <v>83.8</v>
      </c>
      <c r="N237">
        <v>187573</v>
      </c>
      <c r="O237">
        <f>YEAR(Table1[[#This Row],[Date]])</f>
        <v>2025</v>
      </c>
      <c r="P237" t="str">
        <f>TEXT(Table1[[#This Row],[Date]],"MMM")</f>
        <v>Aug</v>
      </c>
      <c r="Q237">
        <f>Table1[[#This Row],[Revenue]]-Table1[[#This Row],[Expenses]]</f>
        <v>204299</v>
      </c>
    </row>
    <row r="238" spans="1:17" x14ac:dyDescent="0.3">
      <c r="A238" s="2">
        <v>45894</v>
      </c>
      <c r="B238" t="s">
        <v>17</v>
      </c>
      <c r="C238" t="s">
        <v>39</v>
      </c>
      <c r="D238">
        <v>287500</v>
      </c>
      <c r="E238">
        <v>216284</v>
      </c>
      <c r="F238">
        <v>688</v>
      </c>
      <c r="G238">
        <v>262578</v>
      </c>
      <c r="H238" t="s">
        <v>54</v>
      </c>
      <c r="I238" t="s">
        <v>26</v>
      </c>
      <c r="J238" t="s">
        <v>29</v>
      </c>
      <c r="K238" t="s">
        <v>30</v>
      </c>
      <c r="L238" t="s">
        <v>104</v>
      </c>
      <c r="M238">
        <v>77.400000000000006</v>
      </c>
      <c r="N238">
        <v>74718</v>
      </c>
      <c r="O238">
        <f>YEAR(Table1[[#This Row],[Date]])</f>
        <v>2025</v>
      </c>
      <c r="P238" t="str">
        <f>TEXT(Table1[[#This Row],[Date]],"MMM")</f>
        <v>Aug</v>
      </c>
      <c r="Q238">
        <f>Table1[[#This Row],[Revenue]]-Table1[[#This Row],[Expenses]]</f>
        <v>71216</v>
      </c>
    </row>
    <row r="239" spans="1:17" x14ac:dyDescent="0.3">
      <c r="A239" s="2">
        <v>45895</v>
      </c>
      <c r="B239" t="s">
        <v>45</v>
      </c>
      <c r="C239" t="s">
        <v>24</v>
      </c>
      <c r="D239">
        <v>115650</v>
      </c>
      <c r="E239">
        <v>51288</v>
      </c>
      <c r="F239">
        <v>547</v>
      </c>
      <c r="G239">
        <v>108707</v>
      </c>
      <c r="H239" t="s">
        <v>34</v>
      </c>
      <c r="I239" t="s">
        <v>20</v>
      </c>
      <c r="J239" t="s">
        <v>29</v>
      </c>
      <c r="K239" t="s">
        <v>24</v>
      </c>
      <c r="L239" t="s">
        <v>140</v>
      </c>
      <c r="M239">
        <v>95.5</v>
      </c>
      <c r="N239">
        <v>60837</v>
      </c>
      <c r="O239">
        <f>YEAR(Table1[[#This Row],[Date]])</f>
        <v>2025</v>
      </c>
      <c r="P239" t="str">
        <f>TEXT(Table1[[#This Row],[Date]],"MMM")</f>
        <v>Aug</v>
      </c>
      <c r="Q239">
        <f>Table1[[#This Row],[Revenue]]-Table1[[#This Row],[Expenses]]</f>
        <v>64362</v>
      </c>
    </row>
    <row r="240" spans="1:17" x14ac:dyDescent="0.3">
      <c r="A240" s="2">
        <v>45896</v>
      </c>
      <c r="B240" t="s">
        <v>45</v>
      </c>
      <c r="C240" t="s">
        <v>39</v>
      </c>
      <c r="D240">
        <v>61523</v>
      </c>
      <c r="E240">
        <v>43711</v>
      </c>
      <c r="F240">
        <v>325</v>
      </c>
      <c r="G240">
        <v>61747</v>
      </c>
      <c r="H240" t="s">
        <v>54</v>
      </c>
      <c r="I240" t="s">
        <v>26</v>
      </c>
      <c r="J240" t="s">
        <v>51</v>
      </c>
      <c r="K240" t="s">
        <v>35</v>
      </c>
      <c r="L240" t="s">
        <v>212</v>
      </c>
      <c r="M240">
        <v>95.7</v>
      </c>
      <c r="N240">
        <v>19259</v>
      </c>
      <c r="O240">
        <f>YEAR(Table1[[#This Row],[Date]])</f>
        <v>2025</v>
      </c>
      <c r="P240" t="str">
        <f>TEXT(Table1[[#This Row],[Date]],"MMM")</f>
        <v>Aug</v>
      </c>
      <c r="Q240">
        <f>Table1[[#This Row],[Revenue]]-Table1[[#This Row],[Expenses]]</f>
        <v>17812</v>
      </c>
    </row>
    <row r="241" spans="1:17" x14ac:dyDescent="0.3">
      <c r="A241" s="2">
        <v>45897</v>
      </c>
      <c r="B241" t="s">
        <v>17</v>
      </c>
      <c r="C241" t="s">
        <v>48</v>
      </c>
      <c r="D241">
        <v>131888</v>
      </c>
      <c r="E241">
        <v>90516</v>
      </c>
      <c r="F241">
        <v>1136</v>
      </c>
      <c r="G241">
        <v>138332</v>
      </c>
      <c r="H241" t="s">
        <v>34</v>
      </c>
      <c r="I241" t="s">
        <v>20</v>
      </c>
      <c r="J241" t="s">
        <v>51</v>
      </c>
      <c r="K241" t="s">
        <v>43</v>
      </c>
      <c r="L241" t="s">
        <v>213</v>
      </c>
      <c r="M241">
        <v>93.7</v>
      </c>
      <c r="N241">
        <v>37719</v>
      </c>
      <c r="O241">
        <f>YEAR(Table1[[#This Row],[Date]])</f>
        <v>2025</v>
      </c>
      <c r="P241" t="str">
        <f>TEXT(Table1[[#This Row],[Date]],"MMM")</f>
        <v>Aug</v>
      </c>
      <c r="Q241">
        <f>Table1[[#This Row],[Revenue]]-Table1[[#This Row],[Expenses]]</f>
        <v>41372</v>
      </c>
    </row>
    <row r="242" spans="1:17" x14ac:dyDescent="0.3">
      <c r="A242" s="2">
        <v>45898</v>
      </c>
      <c r="B242" t="s">
        <v>28</v>
      </c>
      <c r="C242" t="s">
        <v>41</v>
      </c>
      <c r="D242">
        <v>196144</v>
      </c>
      <c r="E242">
        <v>76878</v>
      </c>
      <c r="F242">
        <v>614</v>
      </c>
      <c r="G242">
        <v>182741</v>
      </c>
      <c r="H242" t="s">
        <v>25</v>
      </c>
      <c r="I242" t="s">
        <v>26</v>
      </c>
      <c r="J242" t="s">
        <v>51</v>
      </c>
      <c r="K242" t="s">
        <v>49</v>
      </c>
      <c r="L242" t="s">
        <v>97</v>
      </c>
      <c r="M242">
        <v>76.099999999999994</v>
      </c>
      <c r="N242">
        <v>130519</v>
      </c>
      <c r="O242">
        <f>YEAR(Table1[[#This Row],[Date]])</f>
        <v>2025</v>
      </c>
      <c r="P242" t="str">
        <f>TEXT(Table1[[#This Row],[Date]],"MMM")</f>
        <v>Aug</v>
      </c>
      <c r="Q242">
        <f>Table1[[#This Row],[Revenue]]-Table1[[#This Row],[Expenses]]</f>
        <v>119266</v>
      </c>
    </row>
    <row r="243" spans="1:17" x14ac:dyDescent="0.3">
      <c r="A243" s="2">
        <v>45899</v>
      </c>
      <c r="B243" t="s">
        <v>45</v>
      </c>
      <c r="C243" t="s">
        <v>41</v>
      </c>
      <c r="D243">
        <v>79312</v>
      </c>
      <c r="E243">
        <v>38527</v>
      </c>
      <c r="F243">
        <v>210</v>
      </c>
      <c r="G243">
        <v>73099</v>
      </c>
      <c r="H243" t="s">
        <v>58</v>
      </c>
      <c r="I243" t="s">
        <v>20</v>
      </c>
      <c r="J243" t="s">
        <v>29</v>
      </c>
      <c r="K243" t="s">
        <v>22</v>
      </c>
      <c r="L243" t="s">
        <v>214</v>
      </c>
      <c r="M243">
        <v>92.1</v>
      </c>
      <c r="N243">
        <v>44678</v>
      </c>
      <c r="O243">
        <f>YEAR(Table1[[#This Row],[Date]])</f>
        <v>2025</v>
      </c>
      <c r="P243" t="str">
        <f>TEXT(Table1[[#This Row],[Date]],"MMM")</f>
        <v>Aug</v>
      </c>
      <c r="Q243">
        <f>Table1[[#This Row],[Revenue]]-Table1[[#This Row],[Expenses]]</f>
        <v>40785</v>
      </c>
    </row>
    <row r="244" spans="1:17" x14ac:dyDescent="0.3">
      <c r="A244" s="2">
        <v>45900</v>
      </c>
      <c r="B244" t="s">
        <v>17</v>
      </c>
      <c r="C244" t="s">
        <v>39</v>
      </c>
      <c r="D244">
        <v>104401</v>
      </c>
      <c r="E244">
        <v>62354</v>
      </c>
      <c r="F244">
        <v>621</v>
      </c>
      <c r="G244">
        <v>95830</v>
      </c>
      <c r="H244" t="s">
        <v>25</v>
      </c>
      <c r="I244" t="s">
        <v>20</v>
      </c>
      <c r="J244" t="s">
        <v>29</v>
      </c>
      <c r="K244" t="s">
        <v>49</v>
      </c>
      <c r="L244" t="s">
        <v>27</v>
      </c>
      <c r="M244">
        <v>83.4</v>
      </c>
      <c r="N244">
        <v>45322</v>
      </c>
      <c r="O244">
        <f>YEAR(Table1[[#This Row],[Date]])</f>
        <v>2025</v>
      </c>
      <c r="P244" t="str">
        <f>TEXT(Table1[[#This Row],[Date]],"MMM")</f>
        <v>Aug</v>
      </c>
      <c r="Q244">
        <f>Table1[[#This Row],[Revenue]]-Table1[[#This Row],[Expenses]]</f>
        <v>42047</v>
      </c>
    </row>
    <row r="245" spans="1:17" x14ac:dyDescent="0.3">
      <c r="A245" s="2">
        <v>45901</v>
      </c>
      <c r="B245" t="s">
        <v>17</v>
      </c>
      <c r="C245" t="s">
        <v>39</v>
      </c>
      <c r="D245">
        <v>193998</v>
      </c>
      <c r="E245">
        <v>119801</v>
      </c>
      <c r="F245">
        <v>499</v>
      </c>
      <c r="G245">
        <v>205649</v>
      </c>
      <c r="H245" t="s">
        <v>25</v>
      </c>
      <c r="I245" t="s">
        <v>20</v>
      </c>
      <c r="J245" t="s">
        <v>29</v>
      </c>
      <c r="K245" t="s">
        <v>52</v>
      </c>
      <c r="L245" t="s">
        <v>204</v>
      </c>
      <c r="M245">
        <v>94</v>
      </c>
      <c r="N245">
        <v>81510</v>
      </c>
      <c r="O245">
        <f>YEAR(Table1[[#This Row],[Date]])</f>
        <v>2025</v>
      </c>
      <c r="P245" t="str">
        <f>TEXT(Table1[[#This Row],[Date]],"MMM")</f>
        <v>Sep</v>
      </c>
      <c r="Q245">
        <f>Table1[[#This Row],[Revenue]]-Table1[[#This Row],[Expenses]]</f>
        <v>74197</v>
      </c>
    </row>
    <row r="246" spans="1:17" x14ac:dyDescent="0.3">
      <c r="A246" s="2">
        <v>45902</v>
      </c>
      <c r="B246" t="s">
        <v>45</v>
      </c>
      <c r="C246" t="s">
        <v>48</v>
      </c>
      <c r="D246">
        <v>123445</v>
      </c>
      <c r="E246">
        <v>78042</v>
      </c>
      <c r="F246">
        <v>595</v>
      </c>
      <c r="G246">
        <v>122779</v>
      </c>
      <c r="H246" t="s">
        <v>34</v>
      </c>
      <c r="I246" t="s">
        <v>20</v>
      </c>
      <c r="J246" t="s">
        <v>21</v>
      </c>
      <c r="K246" t="s">
        <v>46</v>
      </c>
      <c r="L246" t="s">
        <v>171</v>
      </c>
      <c r="M246">
        <v>95.8</v>
      </c>
      <c r="N246">
        <v>43778</v>
      </c>
      <c r="O246">
        <f>YEAR(Table1[[#This Row],[Date]])</f>
        <v>2025</v>
      </c>
      <c r="P246" t="str">
        <f>TEXT(Table1[[#This Row],[Date]],"MMM")</f>
        <v>Sep</v>
      </c>
      <c r="Q246">
        <f>Table1[[#This Row],[Revenue]]-Table1[[#This Row],[Expenses]]</f>
        <v>45403</v>
      </c>
    </row>
    <row r="247" spans="1:17" x14ac:dyDescent="0.3">
      <c r="A247" s="2">
        <v>45903</v>
      </c>
      <c r="B247" t="s">
        <v>28</v>
      </c>
      <c r="C247" t="s">
        <v>41</v>
      </c>
      <c r="D247">
        <v>136152</v>
      </c>
      <c r="E247">
        <v>72601</v>
      </c>
      <c r="F247">
        <v>740</v>
      </c>
      <c r="G247">
        <v>131593</v>
      </c>
      <c r="H247" t="s">
        <v>19</v>
      </c>
      <c r="I247" t="s">
        <v>37</v>
      </c>
      <c r="J247" t="s">
        <v>29</v>
      </c>
      <c r="K247" t="s">
        <v>55</v>
      </c>
      <c r="L247" t="s">
        <v>215</v>
      </c>
      <c r="M247">
        <v>83.1</v>
      </c>
      <c r="N247">
        <v>69497</v>
      </c>
      <c r="O247">
        <f>YEAR(Table1[[#This Row],[Date]])</f>
        <v>2025</v>
      </c>
      <c r="P247" t="str">
        <f>TEXT(Table1[[#This Row],[Date]],"MMM")</f>
        <v>Sep</v>
      </c>
      <c r="Q247">
        <f>Table1[[#This Row],[Revenue]]-Table1[[#This Row],[Expenses]]</f>
        <v>63551</v>
      </c>
    </row>
    <row r="248" spans="1:17" x14ac:dyDescent="0.3">
      <c r="A248" s="2">
        <v>45904</v>
      </c>
      <c r="B248" t="s">
        <v>45</v>
      </c>
      <c r="C248" t="s">
        <v>24</v>
      </c>
      <c r="D248">
        <v>268468</v>
      </c>
      <c r="E248">
        <v>178432</v>
      </c>
      <c r="F248">
        <v>1136</v>
      </c>
      <c r="G248">
        <v>268649</v>
      </c>
      <c r="H248" t="s">
        <v>34</v>
      </c>
      <c r="I248" t="s">
        <v>37</v>
      </c>
      <c r="J248" t="s">
        <v>3</v>
      </c>
      <c r="K248" t="s">
        <v>24</v>
      </c>
      <c r="L248" t="s">
        <v>130</v>
      </c>
      <c r="M248">
        <v>78.599999999999994</v>
      </c>
      <c r="N248">
        <v>86104</v>
      </c>
      <c r="O248">
        <f>YEAR(Table1[[#This Row],[Date]])</f>
        <v>2025</v>
      </c>
      <c r="P248" t="str">
        <f>TEXT(Table1[[#This Row],[Date]],"MMM")</f>
        <v>Sep</v>
      </c>
      <c r="Q248">
        <f>Table1[[#This Row],[Revenue]]-Table1[[#This Row],[Expenses]]</f>
        <v>90036</v>
      </c>
    </row>
    <row r="249" spans="1:17" x14ac:dyDescent="0.3">
      <c r="A249" s="2">
        <v>45905</v>
      </c>
      <c r="B249" t="s">
        <v>45</v>
      </c>
      <c r="C249" t="s">
        <v>39</v>
      </c>
      <c r="D249">
        <v>137652</v>
      </c>
      <c r="E249">
        <v>87600</v>
      </c>
      <c r="F249">
        <v>757</v>
      </c>
      <c r="G249">
        <v>142040</v>
      </c>
      <c r="H249" t="s">
        <v>34</v>
      </c>
      <c r="I249" t="s">
        <v>26</v>
      </c>
      <c r="J249" t="s">
        <v>21</v>
      </c>
      <c r="K249" t="s">
        <v>35</v>
      </c>
      <c r="L249" t="s">
        <v>216</v>
      </c>
      <c r="M249">
        <v>90.9</v>
      </c>
      <c r="N249">
        <v>48169</v>
      </c>
      <c r="O249">
        <f>YEAR(Table1[[#This Row],[Date]])</f>
        <v>2025</v>
      </c>
      <c r="P249" t="str">
        <f>TEXT(Table1[[#This Row],[Date]],"MMM")</f>
        <v>Sep</v>
      </c>
      <c r="Q249">
        <f>Table1[[#This Row],[Revenue]]-Table1[[#This Row],[Expenses]]</f>
        <v>50052</v>
      </c>
    </row>
    <row r="250" spans="1:17" x14ac:dyDescent="0.3">
      <c r="A250" s="2">
        <v>45906</v>
      </c>
      <c r="B250" t="s">
        <v>32</v>
      </c>
      <c r="C250" t="s">
        <v>41</v>
      </c>
      <c r="D250">
        <v>56755</v>
      </c>
      <c r="E250">
        <v>40457</v>
      </c>
      <c r="F250">
        <v>1356</v>
      </c>
      <c r="G250">
        <v>54818</v>
      </c>
      <c r="H250" t="s">
        <v>58</v>
      </c>
      <c r="I250" t="s">
        <v>26</v>
      </c>
      <c r="J250" t="s">
        <v>51</v>
      </c>
      <c r="K250" t="s">
        <v>43</v>
      </c>
      <c r="L250" t="s">
        <v>79</v>
      </c>
      <c r="M250">
        <v>93.4</v>
      </c>
      <c r="N250">
        <v>15083</v>
      </c>
      <c r="O250">
        <f>YEAR(Table1[[#This Row],[Date]])</f>
        <v>2025</v>
      </c>
      <c r="P250" t="str">
        <f>TEXT(Table1[[#This Row],[Date]],"MMM")</f>
        <v>Sep</v>
      </c>
      <c r="Q250">
        <f>Table1[[#This Row],[Revenue]]-Table1[[#This Row],[Expenses]]</f>
        <v>16298</v>
      </c>
    </row>
    <row r="251" spans="1:17" x14ac:dyDescent="0.3">
      <c r="A251" s="2">
        <v>45907</v>
      </c>
      <c r="B251" t="s">
        <v>28</v>
      </c>
      <c r="C251" t="s">
        <v>18</v>
      </c>
      <c r="D251">
        <v>240594</v>
      </c>
      <c r="E251">
        <v>182983</v>
      </c>
      <c r="F251">
        <v>1414</v>
      </c>
      <c r="G251">
        <v>248638</v>
      </c>
      <c r="H251" t="s">
        <v>54</v>
      </c>
      <c r="I251" t="s">
        <v>37</v>
      </c>
      <c r="J251" t="s">
        <v>29</v>
      </c>
      <c r="K251" t="s">
        <v>24</v>
      </c>
      <c r="L251" t="s">
        <v>217</v>
      </c>
      <c r="M251">
        <v>77.5</v>
      </c>
      <c r="N251">
        <v>55299</v>
      </c>
      <c r="O251">
        <f>YEAR(Table1[[#This Row],[Date]])</f>
        <v>2025</v>
      </c>
      <c r="P251" t="str">
        <f>TEXT(Table1[[#This Row],[Date]],"MMM")</f>
        <v>Sep</v>
      </c>
      <c r="Q251">
        <f>Table1[[#This Row],[Revenue]]-Table1[[#This Row],[Expenses]]</f>
        <v>57611</v>
      </c>
    </row>
    <row r="252" spans="1:17" x14ac:dyDescent="0.3">
      <c r="A252" s="2">
        <v>45908</v>
      </c>
      <c r="B252" t="s">
        <v>45</v>
      </c>
      <c r="C252" t="s">
        <v>24</v>
      </c>
      <c r="D252">
        <v>280949</v>
      </c>
      <c r="E252">
        <v>55907</v>
      </c>
      <c r="F252">
        <v>1419</v>
      </c>
      <c r="G252">
        <v>287429</v>
      </c>
      <c r="H252" t="s">
        <v>58</v>
      </c>
      <c r="I252" t="s">
        <v>20</v>
      </c>
      <c r="J252" t="s">
        <v>42</v>
      </c>
      <c r="K252" t="s">
        <v>52</v>
      </c>
      <c r="L252" t="s">
        <v>105</v>
      </c>
      <c r="M252">
        <v>80.900000000000006</v>
      </c>
      <c r="N252">
        <v>245647</v>
      </c>
      <c r="O252">
        <f>YEAR(Table1[[#This Row],[Date]])</f>
        <v>2025</v>
      </c>
      <c r="P252" t="str">
        <f>TEXT(Table1[[#This Row],[Date]],"MMM")</f>
        <v>Sep</v>
      </c>
      <c r="Q252">
        <f>Table1[[#This Row],[Revenue]]-Table1[[#This Row],[Expenses]]</f>
        <v>225042</v>
      </c>
    </row>
    <row r="253" spans="1:17" x14ac:dyDescent="0.3">
      <c r="A253" s="2">
        <v>45909</v>
      </c>
      <c r="B253" t="s">
        <v>45</v>
      </c>
      <c r="C253" t="s">
        <v>48</v>
      </c>
      <c r="D253">
        <v>88994</v>
      </c>
      <c r="E253">
        <v>67331</v>
      </c>
      <c r="F253">
        <v>1390</v>
      </c>
      <c r="G253">
        <v>83913</v>
      </c>
      <c r="H253" t="s">
        <v>58</v>
      </c>
      <c r="I253" t="s">
        <v>37</v>
      </c>
      <c r="J253" t="s">
        <v>21</v>
      </c>
      <c r="K253" t="s">
        <v>24</v>
      </c>
      <c r="L253" t="s">
        <v>211</v>
      </c>
      <c r="M253">
        <v>89.4</v>
      </c>
      <c r="N253">
        <v>21618</v>
      </c>
      <c r="O253">
        <f>YEAR(Table1[[#This Row],[Date]])</f>
        <v>2025</v>
      </c>
      <c r="P253" t="str">
        <f>TEXT(Table1[[#This Row],[Date]],"MMM")</f>
        <v>Sep</v>
      </c>
      <c r="Q253">
        <f>Table1[[#This Row],[Revenue]]-Table1[[#This Row],[Expenses]]</f>
        <v>21663</v>
      </c>
    </row>
    <row r="254" spans="1:17" x14ac:dyDescent="0.3">
      <c r="A254" s="2">
        <v>45910</v>
      </c>
      <c r="B254" t="s">
        <v>45</v>
      </c>
      <c r="C254" t="s">
        <v>18</v>
      </c>
      <c r="D254">
        <v>59683</v>
      </c>
      <c r="E254">
        <v>38603</v>
      </c>
      <c r="F254">
        <v>409</v>
      </c>
      <c r="G254">
        <v>61975</v>
      </c>
      <c r="H254" t="s">
        <v>54</v>
      </c>
      <c r="I254" t="s">
        <v>26</v>
      </c>
      <c r="J254" t="s">
        <v>29</v>
      </c>
      <c r="K254" t="s">
        <v>52</v>
      </c>
      <c r="L254" t="s">
        <v>137</v>
      </c>
      <c r="M254">
        <v>79.3</v>
      </c>
      <c r="N254">
        <v>23129</v>
      </c>
      <c r="O254">
        <f>YEAR(Table1[[#This Row],[Date]])</f>
        <v>2025</v>
      </c>
      <c r="P254" t="str">
        <f>TEXT(Table1[[#This Row],[Date]],"MMM")</f>
        <v>Sep</v>
      </c>
      <c r="Q254">
        <f>Table1[[#This Row],[Revenue]]-Table1[[#This Row],[Expenses]]</f>
        <v>21080</v>
      </c>
    </row>
    <row r="255" spans="1:17" x14ac:dyDescent="0.3">
      <c r="A255" s="2">
        <v>45911</v>
      </c>
      <c r="B255" t="s">
        <v>45</v>
      </c>
      <c r="C255" t="s">
        <v>33</v>
      </c>
      <c r="D255">
        <v>263999</v>
      </c>
      <c r="E255">
        <v>42269</v>
      </c>
      <c r="F255">
        <v>434</v>
      </c>
      <c r="G255">
        <v>269643</v>
      </c>
      <c r="H255" t="s">
        <v>58</v>
      </c>
      <c r="I255" t="s">
        <v>37</v>
      </c>
      <c r="J255" t="s">
        <v>21</v>
      </c>
      <c r="K255" t="s">
        <v>43</v>
      </c>
      <c r="L255" t="s">
        <v>95</v>
      </c>
      <c r="M255">
        <v>87.3</v>
      </c>
      <c r="N255">
        <v>220948</v>
      </c>
      <c r="O255">
        <f>YEAR(Table1[[#This Row],[Date]])</f>
        <v>2025</v>
      </c>
      <c r="P255" t="str">
        <f>TEXT(Table1[[#This Row],[Date]],"MMM")</f>
        <v>Sep</v>
      </c>
      <c r="Q255">
        <f>Table1[[#This Row],[Revenue]]-Table1[[#This Row],[Expenses]]</f>
        <v>221730</v>
      </c>
    </row>
    <row r="256" spans="1:17" x14ac:dyDescent="0.3">
      <c r="A256" s="2">
        <v>45912</v>
      </c>
      <c r="B256" t="s">
        <v>28</v>
      </c>
      <c r="C256" t="s">
        <v>18</v>
      </c>
      <c r="D256">
        <v>79856</v>
      </c>
      <c r="E256">
        <v>50836</v>
      </c>
      <c r="F256">
        <v>1166</v>
      </c>
      <c r="G256">
        <v>76597</v>
      </c>
      <c r="H256" t="s">
        <v>58</v>
      </c>
      <c r="I256" t="s">
        <v>20</v>
      </c>
      <c r="J256" t="s">
        <v>3</v>
      </c>
      <c r="K256" t="s">
        <v>43</v>
      </c>
      <c r="L256" t="s">
        <v>173</v>
      </c>
      <c r="M256">
        <v>92.1</v>
      </c>
      <c r="N256">
        <v>30177</v>
      </c>
      <c r="O256">
        <f>YEAR(Table1[[#This Row],[Date]])</f>
        <v>2025</v>
      </c>
      <c r="P256" t="str">
        <f>TEXT(Table1[[#This Row],[Date]],"MMM")</f>
        <v>Sep</v>
      </c>
      <c r="Q256">
        <f>Table1[[#This Row],[Revenue]]-Table1[[#This Row],[Expenses]]</f>
        <v>29020</v>
      </c>
    </row>
    <row r="257" spans="1:17" x14ac:dyDescent="0.3">
      <c r="A257" s="2">
        <v>45913</v>
      </c>
      <c r="B257" t="s">
        <v>17</v>
      </c>
      <c r="C257" t="s">
        <v>24</v>
      </c>
      <c r="D257">
        <v>113138</v>
      </c>
      <c r="E257">
        <v>74681</v>
      </c>
      <c r="F257">
        <v>776</v>
      </c>
      <c r="G257">
        <v>105299</v>
      </c>
      <c r="H257" t="s">
        <v>34</v>
      </c>
      <c r="I257" t="s">
        <v>26</v>
      </c>
      <c r="J257" t="s">
        <v>21</v>
      </c>
      <c r="K257" t="s">
        <v>35</v>
      </c>
      <c r="L257" t="s">
        <v>218</v>
      </c>
      <c r="M257">
        <v>93.7</v>
      </c>
      <c r="N257">
        <v>37120</v>
      </c>
      <c r="O257">
        <f>YEAR(Table1[[#This Row],[Date]])</f>
        <v>2025</v>
      </c>
      <c r="P257" t="str">
        <f>TEXT(Table1[[#This Row],[Date]],"MMM")</f>
        <v>Sep</v>
      </c>
      <c r="Q257">
        <f>Table1[[#This Row],[Revenue]]-Table1[[#This Row],[Expenses]]</f>
        <v>38457</v>
      </c>
    </row>
    <row r="258" spans="1:17" x14ac:dyDescent="0.3">
      <c r="A258" s="2">
        <v>45914</v>
      </c>
      <c r="B258" t="s">
        <v>32</v>
      </c>
      <c r="C258" t="s">
        <v>41</v>
      </c>
      <c r="D258">
        <v>205904</v>
      </c>
      <c r="E258">
        <v>49201</v>
      </c>
      <c r="F258">
        <v>1239</v>
      </c>
      <c r="G258">
        <v>191603</v>
      </c>
      <c r="H258" t="s">
        <v>58</v>
      </c>
      <c r="I258" t="s">
        <v>26</v>
      </c>
      <c r="J258" t="s">
        <v>51</v>
      </c>
      <c r="K258" t="s">
        <v>35</v>
      </c>
      <c r="L258" t="s">
        <v>219</v>
      </c>
      <c r="M258">
        <v>96.7</v>
      </c>
      <c r="N258">
        <v>158106</v>
      </c>
      <c r="O258">
        <f>YEAR(Table1[[#This Row],[Date]])</f>
        <v>2025</v>
      </c>
      <c r="P258" t="str">
        <f>TEXT(Table1[[#This Row],[Date]],"MMM")</f>
        <v>Sep</v>
      </c>
      <c r="Q258">
        <f>Table1[[#This Row],[Revenue]]-Table1[[#This Row],[Expenses]]</f>
        <v>156703</v>
      </c>
    </row>
    <row r="259" spans="1:17" x14ac:dyDescent="0.3">
      <c r="A259" s="2">
        <v>45915</v>
      </c>
      <c r="B259" t="s">
        <v>28</v>
      </c>
      <c r="C259" t="s">
        <v>41</v>
      </c>
      <c r="D259">
        <v>276764</v>
      </c>
      <c r="E259">
        <v>189303</v>
      </c>
      <c r="F259">
        <v>633</v>
      </c>
      <c r="G259">
        <v>295700</v>
      </c>
      <c r="H259" t="s">
        <v>19</v>
      </c>
      <c r="I259" t="s">
        <v>20</v>
      </c>
      <c r="J259" t="s">
        <v>3</v>
      </c>
      <c r="K259" t="s">
        <v>24</v>
      </c>
      <c r="L259" t="s">
        <v>177</v>
      </c>
      <c r="M259">
        <v>76.8</v>
      </c>
      <c r="N259">
        <v>83491</v>
      </c>
      <c r="O259">
        <f>YEAR(Table1[[#This Row],[Date]])</f>
        <v>2025</v>
      </c>
      <c r="P259" t="str">
        <f>TEXT(Table1[[#This Row],[Date]],"MMM")</f>
        <v>Sep</v>
      </c>
      <c r="Q259">
        <f>Table1[[#This Row],[Revenue]]-Table1[[#This Row],[Expenses]]</f>
        <v>87461</v>
      </c>
    </row>
    <row r="260" spans="1:17" x14ac:dyDescent="0.3">
      <c r="A260" s="2">
        <v>45916</v>
      </c>
      <c r="B260" t="s">
        <v>28</v>
      </c>
      <c r="C260" t="s">
        <v>48</v>
      </c>
      <c r="D260">
        <v>156118</v>
      </c>
      <c r="E260">
        <v>76764</v>
      </c>
      <c r="F260">
        <v>475</v>
      </c>
      <c r="G260">
        <v>168285</v>
      </c>
      <c r="H260" t="s">
        <v>25</v>
      </c>
      <c r="I260" t="s">
        <v>20</v>
      </c>
      <c r="J260" t="s">
        <v>21</v>
      </c>
      <c r="K260" t="s">
        <v>43</v>
      </c>
      <c r="L260" t="s">
        <v>220</v>
      </c>
      <c r="M260">
        <v>94.5</v>
      </c>
      <c r="N260">
        <v>73897</v>
      </c>
      <c r="O260">
        <f>YEAR(Table1[[#This Row],[Date]])</f>
        <v>2025</v>
      </c>
      <c r="P260" t="str">
        <f>TEXT(Table1[[#This Row],[Date]],"MMM")</f>
        <v>Sep</v>
      </c>
      <c r="Q260">
        <f>Table1[[#This Row],[Revenue]]-Table1[[#This Row],[Expenses]]</f>
        <v>79354</v>
      </c>
    </row>
    <row r="261" spans="1:17" x14ac:dyDescent="0.3">
      <c r="A261" s="2">
        <v>45917</v>
      </c>
      <c r="B261" t="s">
        <v>17</v>
      </c>
      <c r="C261" t="s">
        <v>33</v>
      </c>
      <c r="D261">
        <v>281947</v>
      </c>
      <c r="E261">
        <v>131913</v>
      </c>
      <c r="F261">
        <v>1062</v>
      </c>
      <c r="G261">
        <v>269528</v>
      </c>
      <c r="H261" t="s">
        <v>58</v>
      </c>
      <c r="I261" t="s">
        <v>20</v>
      </c>
      <c r="J261" t="s">
        <v>51</v>
      </c>
      <c r="K261" t="s">
        <v>35</v>
      </c>
      <c r="L261" t="s">
        <v>221</v>
      </c>
      <c r="M261">
        <v>79.5</v>
      </c>
      <c r="N261">
        <v>137835</v>
      </c>
      <c r="O261">
        <f>YEAR(Table1[[#This Row],[Date]])</f>
        <v>2025</v>
      </c>
      <c r="P261" t="str">
        <f>TEXT(Table1[[#This Row],[Date]],"MMM")</f>
        <v>Sep</v>
      </c>
      <c r="Q261">
        <f>Table1[[#This Row],[Revenue]]-Table1[[#This Row],[Expenses]]</f>
        <v>150034</v>
      </c>
    </row>
    <row r="262" spans="1:17" x14ac:dyDescent="0.3">
      <c r="A262" s="2">
        <v>45918</v>
      </c>
      <c r="B262" t="s">
        <v>17</v>
      </c>
      <c r="C262" t="s">
        <v>24</v>
      </c>
      <c r="D262">
        <v>145032</v>
      </c>
      <c r="E262">
        <v>88721</v>
      </c>
      <c r="F262">
        <v>341</v>
      </c>
      <c r="G262">
        <v>156492</v>
      </c>
      <c r="H262" t="s">
        <v>58</v>
      </c>
      <c r="I262" t="s">
        <v>20</v>
      </c>
      <c r="J262" t="s">
        <v>51</v>
      </c>
      <c r="K262" t="s">
        <v>30</v>
      </c>
      <c r="L262" t="s">
        <v>222</v>
      </c>
      <c r="M262">
        <v>96.6</v>
      </c>
      <c r="N262">
        <v>58382</v>
      </c>
      <c r="O262">
        <f>YEAR(Table1[[#This Row],[Date]])</f>
        <v>2025</v>
      </c>
      <c r="P262" t="str">
        <f>TEXT(Table1[[#This Row],[Date]],"MMM")</f>
        <v>Sep</v>
      </c>
      <c r="Q262">
        <f>Table1[[#This Row],[Revenue]]-Table1[[#This Row],[Expenses]]</f>
        <v>56311</v>
      </c>
    </row>
    <row r="263" spans="1:17" x14ac:dyDescent="0.3">
      <c r="A263" s="2">
        <v>45919</v>
      </c>
      <c r="B263" t="s">
        <v>32</v>
      </c>
      <c r="C263" t="s">
        <v>41</v>
      </c>
      <c r="D263">
        <v>253392</v>
      </c>
      <c r="E263">
        <v>120105</v>
      </c>
      <c r="F263">
        <v>318</v>
      </c>
      <c r="G263">
        <v>234254</v>
      </c>
      <c r="H263" t="s">
        <v>25</v>
      </c>
      <c r="I263" t="s">
        <v>26</v>
      </c>
      <c r="J263" t="s">
        <v>3</v>
      </c>
      <c r="K263" t="s">
        <v>71</v>
      </c>
      <c r="L263" t="s">
        <v>70</v>
      </c>
      <c r="M263">
        <v>83.4</v>
      </c>
      <c r="N263">
        <v>139961</v>
      </c>
      <c r="O263">
        <f>YEAR(Table1[[#This Row],[Date]])</f>
        <v>2025</v>
      </c>
      <c r="P263" t="str">
        <f>TEXT(Table1[[#This Row],[Date]],"MMM")</f>
        <v>Sep</v>
      </c>
      <c r="Q263">
        <f>Table1[[#This Row],[Revenue]]-Table1[[#This Row],[Expenses]]</f>
        <v>133287</v>
      </c>
    </row>
    <row r="264" spans="1:17" x14ac:dyDescent="0.3">
      <c r="A264" s="2">
        <v>45920</v>
      </c>
      <c r="B264" t="s">
        <v>28</v>
      </c>
      <c r="C264" t="s">
        <v>39</v>
      </c>
      <c r="D264">
        <v>84006</v>
      </c>
      <c r="E264">
        <v>32434</v>
      </c>
      <c r="F264">
        <v>1419</v>
      </c>
      <c r="G264">
        <v>91209</v>
      </c>
      <c r="H264" t="s">
        <v>54</v>
      </c>
      <c r="I264" t="s">
        <v>20</v>
      </c>
      <c r="J264" t="s">
        <v>29</v>
      </c>
      <c r="K264" t="s">
        <v>35</v>
      </c>
      <c r="L264" t="s">
        <v>223</v>
      </c>
      <c r="M264">
        <v>75.099999999999994</v>
      </c>
      <c r="N264">
        <v>50915</v>
      </c>
      <c r="O264">
        <f>YEAR(Table1[[#This Row],[Date]])</f>
        <v>2025</v>
      </c>
      <c r="P264" t="str">
        <f>TEXT(Table1[[#This Row],[Date]],"MMM")</f>
        <v>Sep</v>
      </c>
      <c r="Q264">
        <f>Table1[[#This Row],[Revenue]]-Table1[[#This Row],[Expenses]]</f>
        <v>51572</v>
      </c>
    </row>
    <row r="265" spans="1:17" x14ac:dyDescent="0.3">
      <c r="A265" s="2">
        <v>45921</v>
      </c>
      <c r="B265" t="s">
        <v>28</v>
      </c>
      <c r="C265" t="s">
        <v>41</v>
      </c>
      <c r="D265">
        <v>236421</v>
      </c>
      <c r="E265">
        <v>36964</v>
      </c>
      <c r="F265">
        <v>298</v>
      </c>
      <c r="G265">
        <v>241456</v>
      </c>
      <c r="H265" t="s">
        <v>58</v>
      </c>
      <c r="I265" t="s">
        <v>26</v>
      </c>
      <c r="J265" t="s">
        <v>21</v>
      </c>
      <c r="K265" t="s">
        <v>49</v>
      </c>
      <c r="L265" t="s">
        <v>224</v>
      </c>
      <c r="M265">
        <v>91.9</v>
      </c>
      <c r="N265">
        <v>206825</v>
      </c>
      <c r="O265">
        <f>YEAR(Table1[[#This Row],[Date]])</f>
        <v>2025</v>
      </c>
      <c r="P265" t="str">
        <f>TEXT(Table1[[#This Row],[Date]],"MMM")</f>
        <v>Sep</v>
      </c>
      <c r="Q265">
        <f>Table1[[#This Row],[Revenue]]-Table1[[#This Row],[Expenses]]</f>
        <v>199457</v>
      </c>
    </row>
    <row r="266" spans="1:17" x14ac:dyDescent="0.3">
      <c r="A266" s="2">
        <v>45922</v>
      </c>
      <c r="B266" t="s">
        <v>45</v>
      </c>
      <c r="C266" t="s">
        <v>18</v>
      </c>
      <c r="D266">
        <v>64798</v>
      </c>
      <c r="E266">
        <v>34523</v>
      </c>
      <c r="F266">
        <v>978</v>
      </c>
      <c r="G266">
        <v>63435</v>
      </c>
      <c r="H266" t="s">
        <v>34</v>
      </c>
      <c r="I266" t="s">
        <v>20</v>
      </c>
      <c r="J266" t="s">
        <v>51</v>
      </c>
      <c r="K266" t="s">
        <v>30</v>
      </c>
      <c r="L266" t="s">
        <v>50</v>
      </c>
      <c r="M266">
        <v>87.6</v>
      </c>
      <c r="N266">
        <v>31143</v>
      </c>
      <c r="O266">
        <f>YEAR(Table1[[#This Row],[Date]])</f>
        <v>2025</v>
      </c>
      <c r="P266" t="str">
        <f>TEXT(Table1[[#This Row],[Date]],"MMM")</f>
        <v>Sep</v>
      </c>
      <c r="Q266">
        <f>Table1[[#This Row],[Revenue]]-Table1[[#This Row],[Expenses]]</f>
        <v>30275</v>
      </c>
    </row>
    <row r="267" spans="1:17" x14ac:dyDescent="0.3">
      <c r="A267" s="2">
        <v>45923</v>
      </c>
      <c r="B267" t="s">
        <v>17</v>
      </c>
      <c r="C267" t="s">
        <v>18</v>
      </c>
      <c r="D267">
        <v>126492</v>
      </c>
      <c r="E267">
        <v>79318</v>
      </c>
      <c r="F267">
        <v>647</v>
      </c>
      <c r="G267">
        <v>130203</v>
      </c>
      <c r="H267" t="s">
        <v>58</v>
      </c>
      <c r="I267" t="s">
        <v>20</v>
      </c>
      <c r="J267" t="s">
        <v>51</v>
      </c>
      <c r="K267" t="s">
        <v>71</v>
      </c>
      <c r="L267" t="s">
        <v>204</v>
      </c>
      <c r="M267">
        <v>86.5</v>
      </c>
      <c r="N267">
        <v>51332</v>
      </c>
      <c r="O267">
        <f>YEAR(Table1[[#This Row],[Date]])</f>
        <v>2025</v>
      </c>
      <c r="P267" t="str">
        <f>TEXT(Table1[[#This Row],[Date]],"MMM")</f>
        <v>Sep</v>
      </c>
      <c r="Q267">
        <f>Table1[[#This Row],[Revenue]]-Table1[[#This Row],[Expenses]]</f>
        <v>47174</v>
      </c>
    </row>
    <row r="268" spans="1:17" x14ac:dyDescent="0.3">
      <c r="A268" s="2">
        <v>45924</v>
      </c>
      <c r="B268" t="s">
        <v>28</v>
      </c>
      <c r="C268" t="s">
        <v>33</v>
      </c>
      <c r="D268">
        <v>192797</v>
      </c>
      <c r="E268">
        <v>121964</v>
      </c>
      <c r="F268">
        <v>602</v>
      </c>
      <c r="G268">
        <v>206892</v>
      </c>
      <c r="H268" t="s">
        <v>19</v>
      </c>
      <c r="I268" t="s">
        <v>37</v>
      </c>
      <c r="J268" t="s">
        <v>21</v>
      </c>
      <c r="K268" t="s">
        <v>35</v>
      </c>
      <c r="L268" t="s">
        <v>222</v>
      </c>
      <c r="M268">
        <v>82.6</v>
      </c>
      <c r="N268">
        <v>71964</v>
      </c>
      <c r="O268">
        <f>YEAR(Table1[[#This Row],[Date]])</f>
        <v>2025</v>
      </c>
      <c r="P268" t="str">
        <f>TEXT(Table1[[#This Row],[Date]],"MMM")</f>
        <v>Sep</v>
      </c>
      <c r="Q268">
        <f>Table1[[#This Row],[Revenue]]-Table1[[#This Row],[Expenses]]</f>
        <v>70833</v>
      </c>
    </row>
    <row r="269" spans="1:17" x14ac:dyDescent="0.3">
      <c r="A269" s="2">
        <v>45925</v>
      </c>
      <c r="B269" t="s">
        <v>17</v>
      </c>
      <c r="C269" t="s">
        <v>18</v>
      </c>
      <c r="D269">
        <v>299324</v>
      </c>
      <c r="E269">
        <v>119225</v>
      </c>
      <c r="F269">
        <v>493</v>
      </c>
      <c r="G269">
        <v>272499</v>
      </c>
      <c r="H269" t="s">
        <v>19</v>
      </c>
      <c r="I269" t="s">
        <v>20</v>
      </c>
      <c r="J269" t="s">
        <v>42</v>
      </c>
      <c r="K269" t="s">
        <v>35</v>
      </c>
      <c r="L269" t="s">
        <v>225</v>
      </c>
      <c r="M269">
        <v>90.8</v>
      </c>
      <c r="N269">
        <v>165059</v>
      </c>
      <c r="O269">
        <f>YEAR(Table1[[#This Row],[Date]])</f>
        <v>2025</v>
      </c>
      <c r="P269" t="str">
        <f>TEXT(Table1[[#This Row],[Date]],"MMM")</f>
        <v>Sep</v>
      </c>
      <c r="Q269">
        <f>Table1[[#This Row],[Revenue]]-Table1[[#This Row],[Expenses]]</f>
        <v>180099</v>
      </c>
    </row>
    <row r="270" spans="1:17" x14ac:dyDescent="0.3">
      <c r="A270" s="2">
        <v>45926</v>
      </c>
      <c r="B270" t="s">
        <v>28</v>
      </c>
      <c r="C270" t="s">
        <v>41</v>
      </c>
      <c r="D270">
        <v>211340</v>
      </c>
      <c r="E270">
        <v>161576</v>
      </c>
      <c r="F270">
        <v>419</v>
      </c>
      <c r="G270">
        <v>190554</v>
      </c>
      <c r="H270" t="s">
        <v>54</v>
      </c>
      <c r="I270" t="s">
        <v>37</v>
      </c>
      <c r="J270" t="s">
        <v>42</v>
      </c>
      <c r="K270" t="s">
        <v>46</v>
      </c>
      <c r="L270" t="s">
        <v>226</v>
      </c>
      <c r="M270">
        <v>77.099999999999994</v>
      </c>
      <c r="N270">
        <v>50374</v>
      </c>
      <c r="O270">
        <f>YEAR(Table1[[#This Row],[Date]])</f>
        <v>2025</v>
      </c>
      <c r="P270" t="str">
        <f>TEXT(Table1[[#This Row],[Date]],"MMM")</f>
        <v>Sep</v>
      </c>
      <c r="Q270">
        <f>Table1[[#This Row],[Revenue]]-Table1[[#This Row],[Expenses]]</f>
        <v>49764</v>
      </c>
    </row>
    <row r="271" spans="1:17" x14ac:dyDescent="0.3">
      <c r="A271" s="2">
        <v>45927</v>
      </c>
      <c r="B271" t="s">
        <v>32</v>
      </c>
      <c r="C271" t="s">
        <v>33</v>
      </c>
      <c r="D271">
        <v>98371</v>
      </c>
      <c r="E271">
        <v>55037</v>
      </c>
      <c r="F271">
        <v>1035</v>
      </c>
      <c r="G271">
        <v>96307</v>
      </c>
      <c r="H271" t="s">
        <v>19</v>
      </c>
      <c r="I271" t="s">
        <v>20</v>
      </c>
      <c r="J271" t="s">
        <v>42</v>
      </c>
      <c r="K271" t="s">
        <v>49</v>
      </c>
      <c r="L271" t="s">
        <v>227</v>
      </c>
      <c r="M271">
        <v>79.8</v>
      </c>
      <c r="N271">
        <v>46570</v>
      </c>
      <c r="O271">
        <f>YEAR(Table1[[#This Row],[Date]])</f>
        <v>2025</v>
      </c>
      <c r="P271" t="str">
        <f>TEXT(Table1[[#This Row],[Date]],"MMM")</f>
        <v>Sep</v>
      </c>
      <c r="Q271">
        <f>Table1[[#This Row],[Revenue]]-Table1[[#This Row],[Expenses]]</f>
        <v>43334</v>
      </c>
    </row>
    <row r="272" spans="1:17" x14ac:dyDescent="0.3">
      <c r="A272" s="2">
        <v>45928</v>
      </c>
      <c r="B272" t="s">
        <v>45</v>
      </c>
      <c r="C272" t="s">
        <v>24</v>
      </c>
      <c r="D272">
        <v>121707</v>
      </c>
      <c r="E272">
        <v>33290</v>
      </c>
      <c r="F272">
        <v>1196</v>
      </c>
      <c r="G272">
        <v>125197</v>
      </c>
      <c r="H272" t="s">
        <v>54</v>
      </c>
      <c r="I272" t="s">
        <v>20</v>
      </c>
      <c r="J272" t="s">
        <v>51</v>
      </c>
      <c r="K272" t="s">
        <v>46</v>
      </c>
      <c r="L272" t="s">
        <v>228</v>
      </c>
      <c r="M272">
        <v>88</v>
      </c>
      <c r="N272">
        <v>89732</v>
      </c>
      <c r="O272">
        <f>YEAR(Table1[[#This Row],[Date]])</f>
        <v>2025</v>
      </c>
      <c r="P272" t="str">
        <f>TEXT(Table1[[#This Row],[Date]],"MMM")</f>
        <v>Sep</v>
      </c>
      <c r="Q272">
        <f>Table1[[#This Row],[Revenue]]-Table1[[#This Row],[Expenses]]</f>
        <v>88417</v>
      </c>
    </row>
    <row r="273" spans="1:17" x14ac:dyDescent="0.3">
      <c r="A273" s="2">
        <v>45929</v>
      </c>
      <c r="B273" t="s">
        <v>32</v>
      </c>
      <c r="C273" t="s">
        <v>33</v>
      </c>
      <c r="D273">
        <v>291043</v>
      </c>
      <c r="E273">
        <v>146871</v>
      </c>
      <c r="F273">
        <v>1026</v>
      </c>
      <c r="G273">
        <v>270140</v>
      </c>
      <c r="H273" t="s">
        <v>58</v>
      </c>
      <c r="I273" t="s">
        <v>37</v>
      </c>
      <c r="J273" t="s">
        <v>3</v>
      </c>
      <c r="K273" t="s">
        <v>49</v>
      </c>
      <c r="L273" t="s">
        <v>229</v>
      </c>
      <c r="M273">
        <v>89.7</v>
      </c>
      <c r="N273">
        <v>150713</v>
      </c>
      <c r="O273">
        <f>YEAR(Table1[[#This Row],[Date]])</f>
        <v>2025</v>
      </c>
      <c r="P273" t="str">
        <f>TEXT(Table1[[#This Row],[Date]],"MMM")</f>
        <v>Sep</v>
      </c>
      <c r="Q273">
        <f>Table1[[#This Row],[Revenue]]-Table1[[#This Row],[Expenses]]</f>
        <v>144172</v>
      </c>
    </row>
    <row r="274" spans="1:17" x14ac:dyDescent="0.3">
      <c r="A274" s="2">
        <v>45930</v>
      </c>
      <c r="B274" t="s">
        <v>45</v>
      </c>
      <c r="C274" t="s">
        <v>18</v>
      </c>
      <c r="D274">
        <v>198151</v>
      </c>
      <c r="E274">
        <v>40485</v>
      </c>
      <c r="F274">
        <v>1288</v>
      </c>
      <c r="G274">
        <v>181396</v>
      </c>
      <c r="H274" t="s">
        <v>19</v>
      </c>
      <c r="I274" t="s">
        <v>37</v>
      </c>
      <c r="J274" t="s">
        <v>21</v>
      </c>
      <c r="K274" t="s">
        <v>49</v>
      </c>
      <c r="L274" t="s">
        <v>230</v>
      </c>
      <c r="M274">
        <v>89.3</v>
      </c>
      <c r="N274">
        <v>173386</v>
      </c>
      <c r="O274">
        <f>YEAR(Table1[[#This Row],[Date]])</f>
        <v>2025</v>
      </c>
      <c r="P274" t="str">
        <f>TEXT(Table1[[#This Row],[Date]],"MMM")</f>
        <v>Sep</v>
      </c>
      <c r="Q274">
        <f>Table1[[#This Row],[Revenue]]-Table1[[#This Row],[Expenses]]</f>
        <v>157666</v>
      </c>
    </row>
    <row r="275" spans="1:17" x14ac:dyDescent="0.3">
      <c r="A275" s="2">
        <v>45931</v>
      </c>
      <c r="B275" t="s">
        <v>28</v>
      </c>
      <c r="C275" t="s">
        <v>39</v>
      </c>
      <c r="D275">
        <v>213995</v>
      </c>
      <c r="E275">
        <v>132318</v>
      </c>
      <c r="F275">
        <v>885</v>
      </c>
      <c r="G275">
        <v>202594</v>
      </c>
      <c r="H275" t="s">
        <v>25</v>
      </c>
      <c r="I275" t="s">
        <v>20</v>
      </c>
      <c r="J275" t="s">
        <v>3</v>
      </c>
      <c r="K275" t="s">
        <v>35</v>
      </c>
      <c r="L275" t="s">
        <v>76</v>
      </c>
      <c r="M275">
        <v>76.900000000000006</v>
      </c>
      <c r="N275">
        <v>82157</v>
      </c>
      <c r="O275">
        <f>YEAR(Table1[[#This Row],[Date]])</f>
        <v>2025</v>
      </c>
      <c r="P275" t="str">
        <f>TEXT(Table1[[#This Row],[Date]],"MMM")</f>
        <v>Oct</v>
      </c>
      <c r="Q275">
        <f>Table1[[#This Row],[Revenue]]-Table1[[#This Row],[Expenses]]</f>
        <v>81677</v>
      </c>
    </row>
    <row r="276" spans="1:17" x14ac:dyDescent="0.3">
      <c r="A276" s="2">
        <v>45932</v>
      </c>
      <c r="B276" t="s">
        <v>28</v>
      </c>
      <c r="C276" t="s">
        <v>39</v>
      </c>
      <c r="D276">
        <v>180164</v>
      </c>
      <c r="E276">
        <v>128520</v>
      </c>
      <c r="F276">
        <v>1177</v>
      </c>
      <c r="G276">
        <v>186909</v>
      </c>
      <c r="H276" t="s">
        <v>25</v>
      </c>
      <c r="I276" t="s">
        <v>26</v>
      </c>
      <c r="J276" t="s">
        <v>42</v>
      </c>
      <c r="K276" t="s">
        <v>52</v>
      </c>
      <c r="L276" t="s">
        <v>231</v>
      </c>
      <c r="M276">
        <v>87.3</v>
      </c>
      <c r="N276">
        <v>49055</v>
      </c>
      <c r="O276">
        <f>YEAR(Table1[[#This Row],[Date]])</f>
        <v>2025</v>
      </c>
      <c r="P276" t="str">
        <f>TEXT(Table1[[#This Row],[Date]],"MMM")</f>
        <v>Oct</v>
      </c>
      <c r="Q276">
        <f>Table1[[#This Row],[Revenue]]-Table1[[#This Row],[Expenses]]</f>
        <v>51644</v>
      </c>
    </row>
    <row r="277" spans="1:17" x14ac:dyDescent="0.3">
      <c r="A277" s="2">
        <v>45933</v>
      </c>
      <c r="B277" t="s">
        <v>45</v>
      </c>
      <c r="C277" t="s">
        <v>18</v>
      </c>
      <c r="D277">
        <v>146363</v>
      </c>
      <c r="E277">
        <v>112302</v>
      </c>
      <c r="F277">
        <v>351</v>
      </c>
      <c r="G277">
        <v>148190</v>
      </c>
      <c r="H277" t="s">
        <v>25</v>
      </c>
      <c r="I277" t="s">
        <v>26</v>
      </c>
      <c r="J277" t="s">
        <v>21</v>
      </c>
      <c r="K277" t="s">
        <v>24</v>
      </c>
      <c r="L277" t="s">
        <v>232</v>
      </c>
      <c r="M277">
        <v>80</v>
      </c>
      <c r="N277">
        <v>32856</v>
      </c>
      <c r="O277">
        <f>YEAR(Table1[[#This Row],[Date]])</f>
        <v>2025</v>
      </c>
      <c r="P277" t="str">
        <f>TEXT(Table1[[#This Row],[Date]],"MMM")</f>
        <v>Oct</v>
      </c>
      <c r="Q277">
        <f>Table1[[#This Row],[Revenue]]-Table1[[#This Row],[Expenses]]</f>
        <v>34061</v>
      </c>
    </row>
    <row r="278" spans="1:17" x14ac:dyDescent="0.3">
      <c r="A278" s="2">
        <v>45934</v>
      </c>
      <c r="B278" t="s">
        <v>32</v>
      </c>
      <c r="C278" t="s">
        <v>33</v>
      </c>
      <c r="D278">
        <v>107168</v>
      </c>
      <c r="E278">
        <v>84110</v>
      </c>
      <c r="F278">
        <v>1240</v>
      </c>
      <c r="G278">
        <v>104950</v>
      </c>
      <c r="H278" t="s">
        <v>19</v>
      </c>
      <c r="I278" t="s">
        <v>37</v>
      </c>
      <c r="J278" t="s">
        <v>3</v>
      </c>
      <c r="K278" t="s">
        <v>30</v>
      </c>
      <c r="L278" t="s">
        <v>170</v>
      </c>
      <c r="M278">
        <v>96</v>
      </c>
      <c r="N278">
        <v>22812</v>
      </c>
      <c r="O278">
        <f>YEAR(Table1[[#This Row],[Date]])</f>
        <v>2025</v>
      </c>
      <c r="P278" t="str">
        <f>TEXT(Table1[[#This Row],[Date]],"MMM")</f>
        <v>Oct</v>
      </c>
      <c r="Q278">
        <f>Table1[[#This Row],[Revenue]]-Table1[[#This Row],[Expenses]]</f>
        <v>23058</v>
      </c>
    </row>
    <row r="279" spans="1:17" x14ac:dyDescent="0.3">
      <c r="A279" s="2">
        <v>45935</v>
      </c>
      <c r="B279" t="s">
        <v>17</v>
      </c>
      <c r="C279" t="s">
        <v>39</v>
      </c>
      <c r="D279">
        <v>234970</v>
      </c>
      <c r="E279">
        <v>148959</v>
      </c>
      <c r="F279">
        <v>555</v>
      </c>
      <c r="G279">
        <v>250679</v>
      </c>
      <c r="H279" t="s">
        <v>34</v>
      </c>
      <c r="I279" t="s">
        <v>20</v>
      </c>
      <c r="J279" t="s">
        <v>29</v>
      </c>
      <c r="K279" t="s">
        <v>49</v>
      </c>
      <c r="L279" t="s">
        <v>69</v>
      </c>
      <c r="M279">
        <v>98.9</v>
      </c>
      <c r="N279">
        <v>80793</v>
      </c>
      <c r="O279">
        <f>YEAR(Table1[[#This Row],[Date]])</f>
        <v>2025</v>
      </c>
      <c r="P279" t="str">
        <f>TEXT(Table1[[#This Row],[Date]],"MMM")</f>
        <v>Oct</v>
      </c>
      <c r="Q279">
        <f>Table1[[#This Row],[Revenue]]-Table1[[#This Row],[Expenses]]</f>
        <v>86011</v>
      </c>
    </row>
    <row r="280" spans="1:17" x14ac:dyDescent="0.3">
      <c r="A280" s="2">
        <v>45936</v>
      </c>
      <c r="B280" t="s">
        <v>17</v>
      </c>
      <c r="C280" t="s">
        <v>41</v>
      </c>
      <c r="D280">
        <v>63723</v>
      </c>
      <c r="E280">
        <v>34834</v>
      </c>
      <c r="F280">
        <v>1255</v>
      </c>
      <c r="G280">
        <v>69604</v>
      </c>
      <c r="H280" t="s">
        <v>34</v>
      </c>
      <c r="I280" t="s">
        <v>20</v>
      </c>
      <c r="J280" t="s">
        <v>42</v>
      </c>
      <c r="K280" t="s">
        <v>30</v>
      </c>
      <c r="L280" t="s">
        <v>233</v>
      </c>
      <c r="M280">
        <v>96.9</v>
      </c>
      <c r="N280">
        <v>27034</v>
      </c>
      <c r="O280">
        <f>YEAR(Table1[[#This Row],[Date]])</f>
        <v>2025</v>
      </c>
      <c r="P280" t="str">
        <f>TEXT(Table1[[#This Row],[Date]],"MMM")</f>
        <v>Oct</v>
      </c>
      <c r="Q280">
        <f>Table1[[#This Row],[Revenue]]-Table1[[#This Row],[Expenses]]</f>
        <v>28889</v>
      </c>
    </row>
    <row r="281" spans="1:17" x14ac:dyDescent="0.3">
      <c r="A281" s="2">
        <v>45937</v>
      </c>
      <c r="B281" t="s">
        <v>17</v>
      </c>
      <c r="C281" t="s">
        <v>24</v>
      </c>
      <c r="D281">
        <v>232797</v>
      </c>
      <c r="E281">
        <v>77591</v>
      </c>
      <c r="F281">
        <v>767</v>
      </c>
      <c r="G281">
        <v>214686</v>
      </c>
      <c r="H281" t="s">
        <v>34</v>
      </c>
      <c r="I281" t="s">
        <v>37</v>
      </c>
      <c r="J281" t="s">
        <v>21</v>
      </c>
      <c r="K281" t="s">
        <v>43</v>
      </c>
      <c r="L281" t="s">
        <v>234</v>
      </c>
      <c r="M281">
        <v>97</v>
      </c>
      <c r="N281">
        <v>155196</v>
      </c>
      <c r="O281">
        <f>YEAR(Table1[[#This Row],[Date]])</f>
        <v>2025</v>
      </c>
      <c r="P281" t="str">
        <f>TEXT(Table1[[#This Row],[Date]],"MMM")</f>
        <v>Oct</v>
      </c>
      <c r="Q281">
        <f>Table1[[#This Row],[Revenue]]-Table1[[#This Row],[Expenses]]</f>
        <v>155206</v>
      </c>
    </row>
    <row r="282" spans="1:17" x14ac:dyDescent="0.3">
      <c r="A282" s="2">
        <v>45938</v>
      </c>
      <c r="B282" t="s">
        <v>28</v>
      </c>
      <c r="C282" t="s">
        <v>48</v>
      </c>
      <c r="D282">
        <v>205566</v>
      </c>
      <c r="E282">
        <v>156844</v>
      </c>
      <c r="F282">
        <v>693</v>
      </c>
      <c r="G282">
        <v>220684</v>
      </c>
      <c r="H282" t="s">
        <v>19</v>
      </c>
      <c r="I282" t="s">
        <v>26</v>
      </c>
      <c r="J282" t="s">
        <v>21</v>
      </c>
      <c r="K282" t="s">
        <v>30</v>
      </c>
      <c r="L282" t="s">
        <v>97</v>
      </c>
      <c r="M282">
        <v>81.400000000000006</v>
      </c>
      <c r="N282">
        <v>44414</v>
      </c>
      <c r="O282">
        <f>YEAR(Table1[[#This Row],[Date]])</f>
        <v>2025</v>
      </c>
      <c r="P282" t="str">
        <f>TEXT(Table1[[#This Row],[Date]],"MMM")</f>
        <v>Oct</v>
      </c>
      <c r="Q282">
        <f>Table1[[#This Row],[Revenue]]-Table1[[#This Row],[Expenses]]</f>
        <v>48722</v>
      </c>
    </row>
    <row r="283" spans="1:17" x14ac:dyDescent="0.3">
      <c r="A283" s="2">
        <v>45939</v>
      </c>
      <c r="B283" t="s">
        <v>45</v>
      </c>
      <c r="C283" t="s">
        <v>33</v>
      </c>
      <c r="D283">
        <v>93703</v>
      </c>
      <c r="E283">
        <v>43243</v>
      </c>
      <c r="F283">
        <v>1179</v>
      </c>
      <c r="G283">
        <v>96679</v>
      </c>
      <c r="H283" t="s">
        <v>54</v>
      </c>
      <c r="I283" t="s">
        <v>26</v>
      </c>
      <c r="J283" t="s">
        <v>29</v>
      </c>
      <c r="K283" t="s">
        <v>71</v>
      </c>
      <c r="L283" t="s">
        <v>156</v>
      </c>
      <c r="M283">
        <v>95.9</v>
      </c>
      <c r="N283">
        <v>55408</v>
      </c>
      <c r="O283">
        <f>YEAR(Table1[[#This Row],[Date]])</f>
        <v>2025</v>
      </c>
      <c r="P283" t="str">
        <f>TEXT(Table1[[#This Row],[Date]],"MMM")</f>
        <v>Oct</v>
      </c>
      <c r="Q283">
        <f>Table1[[#This Row],[Revenue]]-Table1[[#This Row],[Expenses]]</f>
        <v>50460</v>
      </c>
    </row>
    <row r="284" spans="1:17" x14ac:dyDescent="0.3">
      <c r="A284" s="2">
        <v>45940</v>
      </c>
      <c r="B284" t="s">
        <v>17</v>
      </c>
      <c r="C284" t="s">
        <v>39</v>
      </c>
      <c r="D284">
        <v>206568</v>
      </c>
      <c r="E284">
        <v>145079</v>
      </c>
      <c r="F284">
        <v>875</v>
      </c>
      <c r="G284">
        <v>198968</v>
      </c>
      <c r="H284" t="s">
        <v>58</v>
      </c>
      <c r="I284" t="s">
        <v>20</v>
      </c>
      <c r="J284" t="s">
        <v>21</v>
      </c>
      <c r="K284" t="s">
        <v>49</v>
      </c>
      <c r="L284" t="s">
        <v>61</v>
      </c>
      <c r="M284">
        <v>82.4</v>
      </c>
      <c r="N284">
        <v>62002</v>
      </c>
      <c r="O284">
        <f>YEAR(Table1[[#This Row],[Date]])</f>
        <v>2025</v>
      </c>
      <c r="P284" t="str">
        <f>TEXT(Table1[[#This Row],[Date]],"MMM")</f>
        <v>Oct</v>
      </c>
      <c r="Q284">
        <f>Table1[[#This Row],[Revenue]]-Table1[[#This Row],[Expenses]]</f>
        <v>61489</v>
      </c>
    </row>
    <row r="285" spans="1:17" x14ac:dyDescent="0.3">
      <c r="A285" s="2">
        <v>45941</v>
      </c>
      <c r="B285" t="s">
        <v>32</v>
      </c>
      <c r="C285" t="s">
        <v>18</v>
      </c>
      <c r="D285">
        <v>117872</v>
      </c>
      <c r="E285">
        <v>66036</v>
      </c>
      <c r="F285">
        <v>782</v>
      </c>
      <c r="G285">
        <v>126738</v>
      </c>
      <c r="H285" t="s">
        <v>19</v>
      </c>
      <c r="I285" t="s">
        <v>20</v>
      </c>
      <c r="J285" t="s">
        <v>3</v>
      </c>
      <c r="K285" t="s">
        <v>22</v>
      </c>
      <c r="L285" t="s">
        <v>108</v>
      </c>
      <c r="M285">
        <v>81.400000000000006</v>
      </c>
      <c r="N285">
        <v>54490</v>
      </c>
      <c r="O285">
        <f>YEAR(Table1[[#This Row],[Date]])</f>
        <v>2025</v>
      </c>
      <c r="P285" t="str">
        <f>TEXT(Table1[[#This Row],[Date]],"MMM")</f>
        <v>Oct</v>
      </c>
      <c r="Q285">
        <f>Table1[[#This Row],[Revenue]]-Table1[[#This Row],[Expenses]]</f>
        <v>51836</v>
      </c>
    </row>
    <row r="286" spans="1:17" x14ac:dyDescent="0.3">
      <c r="A286" s="2">
        <v>45942</v>
      </c>
      <c r="B286" t="s">
        <v>28</v>
      </c>
      <c r="C286" t="s">
        <v>33</v>
      </c>
      <c r="D286">
        <v>180276</v>
      </c>
      <c r="E286">
        <v>144077</v>
      </c>
      <c r="F286">
        <v>1416</v>
      </c>
      <c r="G286">
        <v>195847</v>
      </c>
      <c r="H286" t="s">
        <v>19</v>
      </c>
      <c r="I286" t="s">
        <v>37</v>
      </c>
      <c r="J286" t="s">
        <v>29</v>
      </c>
      <c r="K286" t="s">
        <v>55</v>
      </c>
      <c r="L286" t="s">
        <v>23</v>
      </c>
      <c r="M286">
        <v>85.7</v>
      </c>
      <c r="N286">
        <v>39488</v>
      </c>
      <c r="O286">
        <f>YEAR(Table1[[#This Row],[Date]])</f>
        <v>2025</v>
      </c>
      <c r="P286" t="str">
        <f>TEXT(Table1[[#This Row],[Date]],"MMM")</f>
        <v>Oct</v>
      </c>
      <c r="Q286">
        <f>Table1[[#This Row],[Revenue]]-Table1[[#This Row],[Expenses]]</f>
        <v>36199</v>
      </c>
    </row>
    <row r="287" spans="1:17" x14ac:dyDescent="0.3">
      <c r="A287" s="2">
        <v>45943</v>
      </c>
      <c r="B287" t="s">
        <v>28</v>
      </c>
      <c r="C287" t="s">
        <v>39</v>
      </c>
      <c r="D287">
        <v>247926</v>
      </c>
      <c r="E287">
        <v>113117</v>
      </c>
      <c r="F287">
        <v>443</v>
      </c>
      <c r="G287">
        <v>242975</v>
      </c>
      <c r="H287" t="s">
        <v>34</v>
      </c>
      <c r="I287" t="s">
        <v>26</v>
      </c>
      <c r="J287" t="s">
        <v>42</v>
      </c>
      <c r="K287" t="s">
        <v>22</v>
      </c>
      <c r="L287" t="s">
        <v>173</v>
      </c>
      <c r="M287">
        <v>97</v>
      </c>
      <c r="N287">
        <v>134994</v>
      </c>
      <c r="O287">
        <f>YEAR(Table1[[#This Row],[Date]])</f>
        <v>2025</v>
      </c>
      <c r="P287" t="str">
        <f>TEXT(Table1[[#This Row],[Date]],"MMM")</f>
        <v>Oct</v>
      </c>
      <c r="Q287">
        <f>Table1[[#This Row],[Revenue]]-Table1[[#This Row],[Expenses]]</f>
        <v>134809</v>
      </c>
    </row>
    <row r="288" spans="1:17" x14ac:dyDescent="0.3">
      <c r="A288" s="2">
        <v>45944</v>
      </c>
      <c r="B288" t="s">
        <v>28</v>
      </c>
      <c r="C288" t="s">
        <v>33</v>
      </c>
      <c r="D288">
        <v>198574</v>
      </c>
      <c r="E288">
        <v>112748</v>
      </c>
      <c r="F288">
        <v>665</v>
      </c>
      <c r="G288">
        <v>216229</v>
      </c>
      <c r="H288" t="s">
        <v>19</v>
      </c>
      <c r="I288" t="s">
        <v>26</v>
      </c>
      <c r="J288" t="s">
        <v>51</v>
      </c>
      <c r="K288" t="s">
        <v>46</v>
      </c>
      <c r="L288" t="s">
        <v>235</v>
      </c>
      <c r="M288">
        <v>89.7</v>
      </c>
      <c r="N288">
        <v>86628</v>
      </c>
      <c r="O288">
        <f>YEAR(Table1[[#This Row],[Date]])</f>
        <v>2025</v>
      </c>
      <c r="P288" t="str">
        <f>TEXT(Table1[[#This Row],[Date]],"MMM")</f>
        <v>Oct</v>
      </c>
      <c r="Q288">
        <f>Table1[[#This Row],[Revenue]]-Table1[[#This Row],[Expenses]]</f>
        <v>85826</v>
      </c>
    </row>
    <row r="289" spans="1:17" x14ac:dyDescent="0.3">
      <c r="A289" s="2">
        <v>45945</v>
      </c>
      <c r="B289" t="s">
        <v>45</v>
      </c>
      <c r="C289" t="s">
        <v>18</v>
      </c>
      <c r="D289">
        <v>59996</v>
      </c>
      <c r="E289">
        <v>35510</v>
      </c>
      <c r="F289">
        <v>980</v>
      </c>
      <c r="G289">
        <v>64600</v>
      </c>
      <c r="H289" t="s">
        <v>25</v>
      </c>
      <c r="I289" t="s">
        <v>37</v>
      </c>
      <c r="J289" t="s">
        <v>21</v>
      </c>
      <c r="K289" t="s">
        <v>43</v>
      </c>
      <c r="L289" t="s">
        <v>236</v>
      </c>
      <c r="M289">
        <v>91.3</v>
      </c>
      <c r="N289">
        <v>22678</v>
      </c>
      <c r="O289">
        <f>YEAR(Table1[[#This Row],[Date]])</f>
        <v>2025</v>
      </c>
      <c r="P289" t="str">
        <f>TEXT(Table1[[#This Row],[Date]],"MMM")</f>
        <v>Oct</v>
      </c>
      <c r="Q289">
        <f>Table1[[#This Row],[Revenue]]-Table1[[#This Row],[Expenses]]</f>
        <v>24486</v>
      </c>
    </row>
    <row r="290" spans="1:17" x14ac:dyDescent="0.3">
      <c r="A290" s="2">
        <v>45946</v>
      </c>
      <c r="B290" t="s">
        <v>17</v>
      </c>
      <c r="C290" t="s">
        <v>41</v>
      </c>
      <c r="D290">
        <v>160969</v>
      </c>
      <c r="E290">
        <v>83383</v>
      </c>
      <c r="F290">
        <v>1000</v>
      </c>
      <c r="G290">
        <v>157269</v>
      </c>
      <c r="H290" t="s">
        <v>25</v>
      </c>
      <c r="I290" t="s">
        <v>26</v>
      </c>
      <c r="J290" t="s">
        <v>42</v>
      </c>
      <c r="K290" t="s">
        <v>71</v>
      </c>
      <c r="L290" t="s">
        <v>94</v>
      </c>
      <c r="M290">
        <v>95.3</v>
      </c>
      <c r="N290">
        <v>84035</v>
      </c>
      <c r="O290">
        <f>YEAR(Table1[[#This Row],[Date]])</f>
        <v>2025</v>
      </c>
      <c r="P290" t="str">
        <f>TEXT(Table1[[#This Row],[Date]],"MMM")</f>
        <v>Oct</v>
      </c>
      <c r="Q290">
        <f>Table1[[#This Row],[Revenue]]-Table1[[#This Row],[Expenses]]</f>
        <v>77586</v>
      </c>
    </row>
    <row r="291" spans="1:17" x14ac:dyDescent="0.3">
      <c r="A291" s="2">
        <v>45947</v>
      </c>
      <c r="B291" t="s">
        <v>17</v>
      </c>
      <c r="C291" t="s">
        <v>33</v>
      </c>
      <c r="D291">
        <v>160395</v>
      </c>
      <c r="E291">
        <v>45642</v>
      </c>
      <c r="F291">
        <v>357</v>
      </c>
      <c r="G291">
        <v>171020</v>
      </c>
      <c r="H291" t="s">
        <v>54</v>
      </c>
      <c r="I291" t="s">
        <v>20</v>
      </c>
      <c r="J291" t="s">
        <v>21</v>
      </c>
      <c r="K291" t="s">
        <v>24</v>
      </c>
      <c r="L291" t="s">
        <v>237</v>
      </c>
      <c r="M291">
        <v>84.9</v>
      </c>
      <c r="N291">
        <v>123856</v>
      </c>
      <c r="O291">
        <f>YEAR(Table1[[#This Row],[Date]])</f>
        <v>2025</v>
      </c>
      <c r="P291" t="str">
        <f>TEXT(Table1[[#This Row],[Date]],"MMM")</f>
        <v>Oct</v>
      </c>
      <c r="Q291">
        <f>Table1[[#This Row],[Revenue]]-Table1[[#This Row],[Expenses]]</f>
        <v>114753</v>
      </c>
    </row>
    <row r="292" spans="1:17" x14ac:dyDescent="0.3">
      <c r="A292" s="2">
        <v>45948</v>
      </c>
      <c r="B292" t="s">
        <v>32</v>
      </c>
      <c r="C292" t="s">
        <v>41</v>
      </c>
      <c r="D292">
        <v>126907</v>
      </c>
      <c r="E292">
        <v>30668</v>
      </c>
      <c r="F292">
        <v>245</v>
      </c>
      <c r="G292">
        <v>126669</v>
      </c>
      <c r="H292" t="s">
        <v>19</v>
      </c>
      <c r="I292" t="s">
        <v>37</v>
      </c>
      <c r="J292" t="s">
        <v>21</v>
      </c>
      <c r="K292" t="s">
        <v>22</v>
      </c>
      <c r="L292" t="s">
        <v>238</v>
      </c>
      <c r="M292">
        <v>78.400000000000006</v>
      </c>
      <c r="N292">
        <v>100571</v>
      </c>
      <c r="O292">
        <f>YEAR(Table1[[#This Row],[Date]])</f>
        <v>2025</v>
      </c>
      <c r="P292" t="str">
        <f>TEXT(Table1[[#This Row],[Date]],"MMM")</f>
        <v>Oct</v>
      </c>
      <c r="Q292">
        <f>Table1[[#This Row],[Revenue]]-Table1[[#This Row],[Expenses]]</f>
        <v>96239</v>
      </c>
    </row>
    <row r="293" spans="1:17" x14ac:dyDescent="0.3">
      <c r="A293" s="2">
        <v>45949</v>
      </c>
      <c r="B293" t="s">
        <v>45</v>
      </c>
      <c r="C293" t="s">
        <v>41</v>
      </c>
      <c r="D293">
        <v>170821</v>
      </c>
      <c r="E293">
        <v>125276</v>
      </c>
      <c r="F293">
        <v>627</v>
      </c>
      <c r="G293">
        <v>160911</v>
      </c>
      <c r="H293" t="s">
        <v>54</v>
      </c>
      <c r="I293" t="s">
        <v>37</v>
      </c>
      <c r="J293" t="s">
        <v>51</v>
      </c>
      <c r="K293" t="s">
        <v>46</v>
      </c>
      <c r="L293" t="s">
        <v>44</v>
      </c>
      <c r="M293">
        <v>87.9</v>
      </c>
      <c r="N293">
        <v>41060</v>
      </c>
      <c r="O293">
        <f>YEAR(Table1[[#This Row],[Date]])</f>
        <v>2025</v>
      </c>
      <c r="P293" t="str">
        <f>TEXT(Table1[[#This Row],[Date]],"MMM")</f>
        <v>Oct</v>
      </c>
      <c r="Q293">
        <f>Table1[[#This Row],[Revenue]]-Table1[[#This Row],[Expenses]]</f>
        <v>45545</v>
      </c>
    </row>
    <row r="294" spans="1:17" x14ac:dyDescent="0.3">
      <c r="A294" s="2">
        <v>45950</v>
      </c>
      <c r="B294" t="s">
        <v>17</v>
      </c>
      <c r="C294" t="s">
        <v>41</v>
      </c>
      <c r="D294">
        <v>66974</v>
      </c>
      <c r="E294">
        <v>41951</v>
      </c>
      <c r="F294">
        <v>733</v>
      </c>
      <c r="G294">
        <v>62644</v>
      </c>
      <c r="H294" t="s">
        <v>34</v>
      </c>
      <c r="I294" t="s">
        <v>20</v>
      </c>
      <c r="J294" t="s">
        <v>3</v>
      </c>
      <c r="K294" t="s">
        <v>55</v>
      </c>
      <c r="L294" t="s">
        <v>88</v>
      </c>
      <c r="M294">
        <v>77.599999999999994</v>
      </c>
      <c r="N294">
        <v>25969</v>
      </c>
      <c r="O294">
        <f>YEAR(Table1[[#This Row],[Date]])</f>
        <v>2025</v>
      </c>
      <c r="P294" t="str">
        <f>TEXT(Table1[[#This Row],[Date]],"MMM")</f>
        <v>Oct</v>
      </c>
      <c r="Q294">
        <f>Table1[[#This Row],[Revenue]]-Table1[[#This Row],[Expenses]]</f>
        <v>25023</v>
      </c>
    </row>
    <row r="295" spans="1:17" x14ac:dyDescent="0.3">
      <c r="A295" s="2">
        <v>45951</v>
      </c>
      <c r="B295" t="s">
        <v>17</v>
      </c>
      <c r="C295" t="s">
        <v>48</v>
      </c>
      <c r="D295">
        <v>217624</v>
      </c>
      <c r="E295">
        <v>106681</v>
      </c>
      <c r="F295">
        <v>410</v>
      </c>
      <c r="G295">
        <v>220427</v>
      </c>
      <c r="H295" t="s">
        <v>19</v>
      </c>
      <c r="I295" t="s">
        <v>20</v>
      </c>
      <c r="J295" t="s">
        <v>21</v>
      </c>
      <c r="K295" t="s">
        <v>43</v>
      </c>
      <c r="L295" t="s">
        <v>239</v>
      </c>
      <c r="M295">
        <v>90.9</v>
      </c>
      <c r="N295">
        <v>120715</v>
      </c>
      <c r="O295">
        <f>YEAR(Table1[[#This Row],[Date]])</f>
        <v>2025</v>
      </c>
      <c r="P295" t="str">
        <f>TEXT(Table1[[#This Row],[Date]],"MMM")</f>
        <v>Oct</v>
      </c>
      <c r="Q295">
        <f>Table1[[#This Row],[Revenue]]-Table1[[#This Row],[Expenses]]</f>
        <v>110943</v>
      </c>
    </row>
    <row r="296" spans="1:17" x14ac:dyDescent="0.3">
      <c r="A296" s="2">
        <v>45952</v>
      </c>
      <c r="B296" t="s">
        <v>17</v>
      </c>
      <c r="C296" t="s">
        <v>33</v>
      </c>
      <c r="D296">
        <v>107837</v>
      </c>
      <c r="E296">
        <v>44770</v>
      </c>
      <c r="F296">
        <v>1486</v>
      </c>
      <c r="G296">
        <v>114229</v>
      </c>
      <c r="H296" t="s">
        <v>19</v>
      </c>
      <c r="I296" t="s">
        <v>37</v>
      </c>
      <c r="J296" t="s">
        <v>3</v>
      </c>
      <c r="K296" t="s">
        <v>24</v>
      </c>
      <c r="L296" t="s">
        <v>102</v>
      </c>
      <c r="M296">
        <v>90.2</v>
      </c>
      <c r="N296">
        <v>63251</v>
      </c>
      <c r="O296">
        <f>YEAR(Table1[[#This Row],[Date]])</f>
        <v>2025</v>
      </c>
      <c r="P296" t="str">
        <f>TEXT(Table1[[#This Row],[Date]],"MMM")</f>
        <v>Oct</v>
      </c>
      <c r="Q296">
        <f>Table1[[#This Row],[Revenue]]-Table1[[#This Row],[Expenses]]</f>
        <v>63067</v>
      </c>
    </row>
    <row r="297" spans="1:17" x14ac:dyDescent="0.3">
      <c r="A297" s="2">
        <v>45953</v>
      </c>
      <c r="B297" t="s">
        <v>28</v>
      </c>
      <c r="C297" t="s">
        <v>48</v>
      </c>
      <c r="D297">
        <v>160905</v>
      </c>
      <c r="E297">
        <v>32998</v>
      </c>
      <c r="F297">
        <v>394</v>
      </c>
      <c r="G297">
        <v>158502</v>
      </c>
      <c r="H297" t="s">
        <v>54</v>
      </c>
      <c r="I297" t="s">
        <v>37</v>
      </c>
      <c r="J297" t="s">
        <v>3</v>
      </c>
      <c r="K297" t="s">
        <v>30</v>
      </c>
      <c r="L297" t="s">
        <v>213</v>
      </c>
      <c r="M297">
        <v>95.4</v>
      </c>
      <c r="N297">
        <v>124217</v>
      </c>
      <c r="O297">
        <f>YEAR(Table1[[#This Row],[Date]])</f>
        <v>2025</v>
      </c>
      <c r="P297" t="str">
        <f>TEXT(Table1[[#This Row],[Date]],"MMM")</f>
        <v>Oct</v>
      </c>
      <c r="Q297">
        <f>Table1[[#This Row],[Revenue]]-Table1[[#This Row],[Expenses]]</f>
        <v>127907</v>
      </c>
    </row>
    <row r="298" spans="1:17" x14ac:dyDescent="0.3">
      <c r="A298" s="2">
        <v>45954</v>
      </c>
      <c r="B298" t="s">
        <v>17</v>
      </c>
      <c r="C298" t="s">
        <v>33</v>
      </c>
      <c r="D298">
        <v>265668</v>
      </c>
      <c r="E298">
        <v>61171</v>
      </c>
      <c r="F298">
        <v>1105</v>
      </c>
      <c r="G298">
        <v>253526</v>
      </c>
      <c r="H298" t="s">
        <v>58</v>
      </c>
      <c r="I298" t="s">
        <v>20</v>
      </c>
      <c r="J298" t="s">
        <v>21</v>
      </c>
      <c r="K298" t="s">
        <v>49</v>
      </c>
      <c r="L298" t="s">
        <v>128</v>
      </c>
      <c r="M298">
        <v>78.099999999999994</v>
      </c>
      <c r="N298">
        <v>191075</v>
      </c>
      <c r="O298">
        <f>YEAR(Table1[[#This Row],[Date]])</f>
        <v>2025</v>
      </c>
      <c r="P298" t="str">
        <f>TEXT(Table1[[#This Row],[Date]],"MMM")</f>
        <v>Oct</v>
      </c>
      <c r="Q298">
        <f>Table1[[#This Row],[Revenue]]-Table1[[#This Row],[Expenses]]</f>
        <v>204497</v>
      </c>
    </row>
    <row r="299" spans="1:17" x14ac:dyDescent="0.3">
      <c r="A299" s="2">
        <v>45955</v>
      </c>
      <c r="B299" t="s">
        <v>32</v>
      </c>
      <c r="C299" t="s">
        <v>48</v>
      </c>
      <c r="D299">
        <v>202015</v>
      </c>
      <c r="E299">
        <v>155997</v>
      </c>
      <c r="F299">
        <v>1134</v>
      </c>
      <c r="G299">
        <v>205131</v>
      </c>
      <c r="H299" t="s">
        <v>54</v>
      </c>
      <c r="I299" t="s">
        <v>26</v>
      </c>
      <c r="J299" t="s">
        <v>51</v>
      </c>
      <c r="K299" t="s">
        <v>49</v>
      </c>
      <c r="L299" t="s">
        <v>240</v>
      </c>
      <c r="M299">
        <v>85.6</v>
      </c>
      <c r="N299">
        <v>41437</v>
      </c>
      <c r="O299">
        <f>YEAR(Table1[[#This Row],[Date]])</f>
        <v>2025</v>
      </c>
      <c r="P299" t="str">
        <f>TEXT(Table1[[#This Row],[Date]],"MMM")</f>
        <v>Oct</v>
      </c>
      <c r="Q299">
        <f>Table1[[#This Row],[Revenue]]-Table1[[#This Row],[Expenses]]</f>
        <v>46018</v>
      </c>
    </row>
    <row r="300" spans="1:17" x14ac:dyDescent="0.3">
      <c r="A300" s="2">
        <v>45956</v>
      </c>
      <c r="B300" t="s">
        <v>32</v>
      </c>
      <c r="C300" t="s">
        <v>48</v>
      </c>
      <c r="D300">
        <v>191094</v>
      </c>
      <c r="E300">
        <v>123320</v>
      </c>
      <c r="F300">
        <v>700</v>
      </c>
      <c r="G300">
        <v>192780</v>
      </c>
      <c r="H300" t="s">
        <v>34</v>
      </c>
      <c r="I300" t="s">
        <v>20</v>
      </c>
      <c r="J300" t="s">
        <v>29</v>
      </c>
      <c r="K300" t="s">
        <v>49</v>
      </c>
      <c r="L300" t="s">
        <v>241</v>
      </c>
      <c r="M300">
        <v>82.4</v>
      </c>
      <c r="N300">
        <v>61381</v>
      </c>
      <c r="O300">
        <f>YEAR(Table1[[#This Row],[Date]])</f>
        <v>2025</v>
      </c>
      <c r="P300" t="str">
        <f>TEXT(Table1[[#This Row],[Date]],"MMM")</f>
        <v>Oct</v>
      </c>
      <c r="Q300">
        <f>Table1[[#This Row],[Revenue]]-Table1[[#This Row],[Expenses]]</f>
        <v>67774</v>
      </c>
    </row>
    <row r="301" spans="1:17" x14ac:dyDescent="0.3">
      <c r="A301" s="2">
        <v>45957</v>
      </c>
      <c r="B301" t="s">
        <v>28</v>
      </c>
      <c r="C301" t="s">
        <v>18</v>
      </c>
      <c r="D301">
        <v>138090</v>
      </c>
      <c r="E301">
        <v>103332</v>
      </c>
      <c r="F301">
        <v>1329</v>
      </c>
      <c r="G301">
        <v>146060</v>
      </c>
      <c r="H301" t="s">
        <v>25</v>
      </c>
      <c r="I301" t="s">
        <v>37</v>
      </c>
      <c r="J301" t="s">
        <v>51</v>
      </c>
      <c r="K301" t="s">
        <v>22</v>
      </c>
      <c r="L301" t="s">
        <v>104</v>
      </c>
      <c r="M301">
        <v>98.4</v>
      </c>
      <c r="N301">
        <v>35622</v>
      </c>
      <c r="O301">
        <f>YEAR(Table1[[#This Row],[Date]])</f>
        <v>2025</v>
      </c>
      <c r="P301" t="str">
        <f>TEXT(Table1[[#This Row],[Date]],"MMM")</f>
        <v>Oct</v>
      </c>
      <c r="Q301">
        <f>Table1[[#This Row],[Revenue]]-Table1[[#This Row],[Expenses]]</f>
        <v>34758</v>
      </c>
    </row>
    <row r="302" spans="1:17" x14ac:dyDescent="0.3">
      <c r="A302" s="2">
        <v>45958</v>
      </c>
      <c r="B302" t="s">
        <v>32</v>
      </c>
      <c r="C302" t="s">
        <v>48</v>
      </c>
      <c r="D302">
        <v>165969</v>
      </c>
      <c r="E302">
        <v>64167</v>
      </c>
      <c r="F302">
        <v>757</v>
      </c>
      <c r="G302">
        <v>157137</v>
      </c>
      <c r="H302" t="s">
        <v>54</v>
      </c>
      <c r="I302" t="s">
        <v>26</v>
      </c>
      <c r="J302" t="s">
        <v>21</v>
      </c>
      <c r="K302" t="s">
        <v>71</v>
      </c>
      <c r="L302" t="s">
        <v>103</v>
      </c>
      <c r="M302">
        <v>81.400000000000006</v>
      </c>
      <c r="N302">
        <v>92858</v>
      </c>
      <c r="O302">
        <f>YEAR(Table1[[#This Row],[Date]])</f>
        <v>2025</v>
      </c>
      <c r="P302" t="str">
        <f>TEXT(Table1[[#This Row],[Date]],"MMM")</f>
        <v>Oct</v>
      </c>
      <c r="Q302">
        <f>Table1[[#This Row],[Revenue]]-Table1[[#This Row],[Expenses]]</f>
        <v>101802</v>
      </c>
    </row>
    <row r="303" spans="1:17" x14ac:dyDescent="0.3">
      <c r="A303" s="2">
        <v>45959</v>
      </c>
      <c r="B303" t="s">
        <v>28</v>
      </c>
      <c r="C303" t="s">
        <v>18</v>
      </c>
      <c r="D303">
        <v>158909</v>
      </c>
      <c r="E303">
        <v>34042</v>
      </c>
      <c r="F303">
        <v>884</v>
      </c>
      <c r="G303">
        <v>155240</v>
      </c>
      <c r="H303" t="s">
        <v>34</v>
      </c>
      <c r="I303" t="s">
        <v>26</v>
      </c>
      <c r="J303" t="s">
        <v>42</v>
      </c>
      <c r="K303" t="s">
        <v>22</v>
      </c>
      <c r="L303" t="s">
        <v>242</v>
      </c>
      <c r="M303">
        <v>87.5</v>
      </c>
      <c r="N303">
        <v>133274</v>
      </c>
      <c r="O303">
        <f>YEAR(Table1[[#This Row],[Date]])</f>
        <v>2025</v>
      </c>
      <c r="P303" t="str">
        <f>TEXT(Table1[[#This Row],[Date]],"MMM")</f>
        <v>Oct</v>
      </c>
      <c r="Q303">
        <f>Table1[[#This Row],[Revenue]]-Table1[[#This Row],[Expenses]]</f>
        <v>124867</v>
      </c>
    </row>
    <row r="304" spans="1:17" x14ac:dyDescent="0.3">
      <c r="A304" s="2">
        <v>45960</v>
      </c>
      <c r="B304" t="s">
        <v>28</v>
      </c>
      <c r="C304" t="s">
        <v>24</v>
      </c>
      <c r="D304">
        <v>168895</v>
      </c>
      <c r="E304">
        <v>125832</v>
      </c>
      <c r="F304">
        <v>682</v>
      </c>
      <c r="G304">
        <v>183805</v>
      </c>
      <c r="H304" t="s">
        <v>25</v>
      </c>
      <c r="I304" t="s">
        <v>37</v>
      </c>
      <c r="J304" t="s">
        <v>42</v>
      </c>
      <c r="K304" t="s">
        <v>43</v>
      </c>
      <c r="L304" t="s">
        <v>116</v>
      </c>
      <c r="M304">
        <v>87.8</v>
      </c>
      <c r="N304">
        <v>39469</v>
      </c>
      <c r="O304">
        <f>YEAR(Table1[[#This Row],[Date]])</f>
        <v>2025</v>
      </c>
      <c r="P304" t="str">
        <f>TEXT(Table1[[#This Row],[Date]],"MMM")</f>
        <v>Oct</v>
      </c>
      <c r="Q304">
        <f>Table1[[#This Row],[Revenue]]-Table1[[#This Row],[Expenses]]</f>
        <v>43063</v>
      </c>
    </row>
    <row r="305" spans="1:17" x14ac:dyDescent="0.3">
      <c r="A305" s="2">
        <v>45961</v>
      </c>
      <c r="B305" t="s">
        <v>32</v>
      </c>
      <c r="C305" t="s">
        <v>18</v>
      </c>
      <c r="D305">
        <v>230059</v>
      </c>
      <c r="E305">
        <v>101477</v>
      </c>
      <c r="F305">
        <v>1498</v>
      </c>
      <c r="G305">
        <v>226941</v>
      </c>
      <c r="H305" t="s">
        <v>54</v>
      </c>
      <c r="I305" t="s">
        <v>26</v>
      </c>
      <c r="J305" t="s">
        <v>3</v>
      </c>
      <c r="K305" t="s">
        <v>49</v>
      </c>
      <c r="L305" t="s">
        <v>137</v>
      </c>
      <c r="M305">
        <v>86.9</v>
      </c>
      <c r="N305">
        <v>132488</v>
      </c>
      <c r="O305">
        <f>YEAR(Table1[[#This Row],[Date]])</f>
        <v>2025</v>
      </c>
      <c r="P305" t="str">
        <f>TEXT(Table1[[#This Row],[Date]],"MMM")</f>
        <v>Oct</v>
      </c>
      <c r="Q305">
        <f>Table1[[#This Row],[Revenue]]-Table1[[#This Row],[Expenses]]</f>
        <v>128582</v>
      </c>
    </row>
    <row r="306" spans="1:17" x14ac:dyDescent="0.3">
      <c r="A306" s="2">
        <v>45962</v>
      </c>
      <c r="B306" t="s">
        <v>32</v>
      </c>
      <c r="C306" t="s">
        <v>39</v>
      </c>
      <c r="D306">
        <v>73210</v>
      </c>
      <c r="E306">
        <v>37034</v>
      </c>
      <c r="F306">
        <v>876</v>
      </c>
      <c r="G306">
        <v>76400</v>
      </c>
      <c r="H306" t="s">
        <v>54</v>
      </c>
      <c r="I306" t="s">
        <v>26</v>
      </c>
      <c r="J306" t="s">
        <v>21</v>
      </c>
      <c r="K306" t="s">
        <v>24</v>
      </c>
      <c r="L306" t="s">
        <v>243</v>
      </c>
      <c r="M306">
        <v>80.3</v>
      </c>
      <c r="N306">
        <v>38088</v>
      </c>
      <c r="O306">
        <f>YEAR(Table1[[#This Row],[Date]])</f>
        <v>2025</v>
      </c>
      <c r="P306" t="str">
        <f>TEXT(Table1[[#This Row],[Date]],"MMM")</f>
        <v>Nov</v>
      </c>
      <c r="Q306">
        <f>Table1[[#This Row],[Revenue]]-Table1[[#This Row],[Expenses]]</f>
        <v>36176</v>
      </c>
    </row>
    <row r="307" spans="1:17" x14ac:dyDescent="0.3">
      <c r="A307" s="2">
        <v>45963</v>
      </c>
      <c r="B307" t="s">
        <v>28</v>
      </c>
      <c r="C307" t="s">
        <v>39</v>
      </c>
      <c r="D307">
        <v>237767</v>
      </c>
      <c r="E307">
        <v>145751</v>
      </c>
      <c r="F307">
        <v>630</v>
      </c>
      <c r="G307">
        <v>236605</v>
      </c>
      <c r="H307" t="s">
        <v>54</v>
      </c>
      <c r="I307" t="s">
        <v>20</v>
      </c>
      <c r="J307" t="s">
        <v>51</v>
      </c>
      <c r="K307" t="s">
        <v>55</v>
      </c>
      <c r="L307" t="s">
        <v>105</v>
      </c>
      <c r="M307">
        <v>88.6</v>
      </c>
      <c r="N307">
        <v>92723</v>
      </c>
      <c r="O307">
        <f>YEAR(Table1[[#This Row],[Date]])</f>
        <v>2025</v>
      </c>
      <c r="P307" t="str">
        <f>TEXT(Table1[[#This Row],[Date]],"MMM")</f>
        <v>Nov</v>
      </c>
      <c r="Q307">
        <f>Table1[[#This Row],[Revenue]]-Table1[[#This Row],[Expenses]]</f>
        <v>92016</v>
      </c>
    </row>
    <row r="308" spans="1:17" x14ac:dyDescent="0.3">
      <c r="A308" s="2">
        <v>45964</v>
      </c>
      <c r="B308" t="s">
        <v>17</v>
      </c>
      <c r="C308" t="s">
        <v>24</v>
      </c>
      <c r="D308">
        <v>98400</v>
      </c>
      <c r="E308">
        <v>38341</v>
      </c>
      <c r="F308">
        <v>401</v>
      </c>
      <c r="G308">
        <v>99763</v>
      </c>
      <c r="H308" t="s">
        <v>58</v>
      </c>
      <c r="I308" t="s">
        <v>20</v>
      </c>
      <c r="J308" t="s">
        <v>42</v>
      </c>
      <c r="K308" t="s">
        <v>43</v>
      </c>
      <c r="L308" t="s">
        <v>77</v>
      </c>
      <c r="M308">
        <v>88.1</v>
      </c>
      <c r="N308">
        <v>59442</v>
      </c>
      <c r="O308">
        <f>YEAR(Table1[[#This Row],[Date]])</f>
        <v>2025</v>
      </c>
      <c r="P308" t="str">
        <f>TEXT(Table1[[#This Row],[Date]],"MMM")</f>
        <v>Nov</v>
      </c>
      <c r="Q308">
        <f>Table1[[#This Row],[Revenue]]-Table1[[#This Row],[Expenses]]</f>
        <v>60059</v>
      </c>
    </row>
    <row r="309" spans="1:17" x14ac:dyDescent="0.3">
      <c r="A309" s="2">
        <v>45965</v>
      </c>
      <c r="B309" t="s">
        <v>17</v>
      </c>
      <c r="C309" t="s">
        <v>18</v>
      </c>
      <c r="D309">
        <v>114365</v>
      </c>
      <c r="E309">
        <v>81495</v>
      </c>
      <c r="F309">
        <v>1100</v>
      </c>
      <c r="G309">
        <v>125628</v>
      </c>
      <c r="H309" t="s">
        <v>54</v>
      </c>
      <c r="I309" t="s">
        <v>20</v>
      </c>
      <c r="J309" t="s">
        <v>3</v>
      </c>
      <c r="K309" t="s">
        <v>49</v>
      </c>
      <c r="L309" t="s">
        <v>145</v>
      </c>
      <c r="M309">
        <v>79.5</v>
      </c>
      <c r="N309">
        <v>31167</v>
      </c>
      <c r="O309">
        <f>YEAR(Table1[[#This Row],[Date]])</f>
        <v>2025</v>
      </c>
      <c r="P309" t="str">
        <f>TEXT(Table1[[#This Row],[Date]],"MMM")</f>
        <v>Nov</v>
      </c>
      <c r="Q309">
        <f>Table1[[#This Row],[Revenue]]-Table1[[#This Row],[Expenses]]</f>
        <v>32870</v>
      </c>
    </row>
    <row r="310" spans="1:17" x14ac:dyDescent="0.3">
      <c r="A310" s="2">
        <v>45966</v>
      </c>
      <c r="B310" t="s">
        <v>32</v>
      </c>
      <c r="C310" t="s">
        <v>39</v>
      </c>
      <c r="D310">
        <v>235912</v>
      </c>
      <c r="E310">
        <v>151120</v>
      </c>
      <c r="F310">
        <v>1174</v>
      </c>
      <c r="G310">
        <v>213300</v>
      </c>
      <c r="H310" t="s">
        <v>54</v>
      </c>
      <c r="I310" t="s">
        <v>20</v>
      </c>
      <c r="J310" t="s">
        <v>21</v>
      </c>
      <c r="K310" t="s">
        <v>43</v>
      </c>
      <c r="L310" t="s">
        <v>244</v>
      </c>
      <c r="M310">
        <v>92.6</v>
      </c>
      <c r="N310">
        <v>92544</v>
      </c>
      <c r="O310">
        <f>YEAR(Table1[[#This Row],[Date]])</f>
        <v>2025</v>
      </c>
      <c r="P310" t="str">
        <f>TEXT(Table1[[#This Row],[Date]],"MMM")</f>
        <v>Nov</v>
      </c>
      <c r="Q310">
        <f>Table1[[#This Row],[Revenue]]-Table1[[#This Row],[Expenses]]</f>
        <v>84792</v>
      </c>
    </row>
    <row r="311" spans="1:17" x14ac:dyDescent="0.3">
      <c r="A311" s="2">
        <v>45967</v>
      </c>
      <c r="B311" t="s">
        <v>28</v>
      </c>
      <c r="C311" t="s">
        <v>18</v>
      </c>
      <c r="D311">
        <v>96279</v>
      </c>
      <c r="E311">
        <v>59724</v>
      </c>
      <c r="F311">
        <v>1207</v>
      </c>
      <c r="G311">
        <v>88764</v>
      </c>
      <c r="H311" t="s">
        <v>25</v>
      </c>
      <c r="I311" t="s">
        <v>26</v>
      </c>
      <c r="J311" t="s">
        <v>21</v>
      </c>
      <c r="K311" t="s">
        <v>30</v>
      </c>
      <c r="L311" t="s">
        <v>169</v>
      </c>
      <c r="M311">
        <v>97.5</v>
      </c>
      <c r="N311">
        <v>36504</v>
      </c>
      <c r="O311">
        <f>YEAR(Table1[[#This Row],[Date]])</f>
        <v>2025</v>
      </c>
      <c r="P311" t="str">
        <f>TEXT(Table1[[#This Row],[Date]],"MMM")</f>
        <v>Nov</v>
      </c>
      <c r="Q311">
        <f>Table1[[#This Row],[Revenue]]-Table1[[#This Row],[Expenses]]</f>
        <v>36555</v>
      </c>
    </row>
    <row r="312" spans="1:17" x14ac:dyDescent="0.3">
      <c r="A312" s="2">
        <v>45968</v>
      </c>
      <c r="B312" t="s">
        <v>28</v>
      </c>
      <c r="C312" t="s">
        <v>24</v>
      </c>
      <c r="D312">
        <v>144064</v>
      </c>
      <c r="E312">
        <v>97948</v>
      </c>
      <c r="F312">
        <v>789</v>
      </c>
      <c r="G312">
        <v>135142</v>
      </c>
      <c r="H312" t="s">
        <v>25</v>
      </c>
      <c r="I312" t="s">
        <v>20</v>
      </c>
      <c r="J312" t="s">
        <v>51</v>
      </c>
      <c r="K312" t="s">
        <v>49</v>
      </c>
      <c r="L312" t="s">
        <v>245</v>
      </c>
      <c r="M312">
        <v>92.7</v>
      </c>
      <c r="N312">
        <v>42076</v>
      </c>
      <c r="O312">
        <f>YEAR(Table1[[#This Row],[Date]])</f>
        <v>2025</v>
      </c>
      <c r="P312" t="str">
        <f>TEXT(Table1[[#This Row],[Date]],"MMM")</f>
        <v>Nov</v>
      </c>
      <c r="Q312">
        <f>Table1[[#This Row],[Revenue]]-Table1[[#This Row],[Expenses]]</f>
        <v>46116</v>
      </c>
    </row>
    <row r="313" spans="1:17" x14ac:dyDescent="0.3">
      <c r="A313" s="2">
        <v>45969</v>
      </c>
      <c r="B313" t="s">
        <v>32</v>
      </c>
      <c r="C313" t="s">
        <v>18</v>
      </c>
      <c r="D313">
        <v>141906</v>
      </c>
      <c r="E313">
        <v>104833</v>
      </c>
      <c r="F313">
        <v>601</v>
      </c>
      <c r="G313">
        <v>140526</v>
      </c>
      <c r="H313" t="s">
        <v>54</v>
      </c>
      <c r="I313" t="s">
        <v>37</v>
      </c>
      <c r="J313" t="s">
        <v>3</v>
      </c>
      <c r="K313" t="s">
        <v>52</v>
      </c>
      <c r="L313" t="s">
        <v>113</v>
      </c>
      <c r="M313">
        <v>81.7</v>
      </c>
      <c r="N313">
        <v>34250</v>
      </c>
      <c r="O313">
        <f>YEAR(Table1[[#This Row],[Date]])</f>
        <v>2025</v>
      </c>
      <c r="P313" t="str">
        <f>TEXT(Table1[[#This Row],[Date]],"MMM")</f>
        <v>Nov</v>
      </c>
      <c r="Q313">
        <f>Table1[[#This Row],[Revenue]]-Table1[[#This Row],[Expenses]]</f>
        <v>37073</v>
      </c>
    </row>
    <row r="314" spans="1:17" x14ac:dyDescent="0.3">
      <c r="A314" s="2">
        <v>45970</v>
      </c>
      <c r="B314" t="s">
        <v>45</v>
      </c>
      <c r="C314" t="s">
        <v>24</v>
      </c>
      <c r="D314">
        <v>130687</v>
      </c>
      <c r="E314">
        <v>77593</v>
      </c>
      <c r="F314">
        <v>710</v>
      </c>
      <c r="G314">
        <v>119044</v>
      </c>
      <c r="H314" t="s">
        <v>19</v>
      </c>
      <c r="I314" t="s">
        <v>26</v>
      </c>
      <c r="J314" t="s">
        <v>29</v>
      </c>
      <c r="K314" t="s">
        <v>24</v>
      </c>
      <c r="L314" t="s">
        <v>144</v>
      </c>
      <c r="M314">
        <v>79.599999999999994</v>
      </c>
      <c r="N314">
        <v>53356</v>
      </c>
      <c r="O314">
        <f>YEAR(Table1[[#This Row],[Date]])</f>
        <v>2025</v>
      </c>
      <c r="P314" t="str">
        <f>TEXT(Table1[[#This Row],[Date]],"MMM")</f>
        <v>Nov</v>
      </c>
      <c r="Q314">
        <f>Table1[[#This Row],[Revenue]]-Table1[[#This Row],[Expenses]]</f>
        <v>53094</v>
      </c>
    </row>
    <row r="315" spans="1:17" x14ac:dyDescent="0.3">
      <c r="A315" s="2">
        <v>45971</v>
      </c>
      <c r="B315" t="s">
        <v>28</v>
      </c>
      <c r="C315" t="s">
        <v>18</v>
      </c>
      <c r="D315">
        <v>244336</v>
      </c>
      <c r="E315">
        <v>126581</v>
      </c>
      <c r="F315">
        <v>1015</v>
      </c>
      <c r="G315">
        <v>228801</v>
      </c>
      <c r="H315" t="s">
        <v>19</v>
      </c>
      <c r="I315" t="s">
        <v>26</v>
      </c>
      <c r="J315" t="s">
        <v>29</v>
      </c>
      <c r="K315" t="s">
        <v>49</v>
      </c>
      <c r="L315" t="s">
        <v>59</v>
      </c>
      <c r="M315">
        <v>78.099999999999994</v>
      </c>
      <c r="N315">
        <v>126403</v>
      </c>
      <c r="O315">
        <f>YEAR(Table1[[#This Row],[Date]])</f>
        <v>2025</v>
      </c>
      <c r="P315" t="str">
        <f>TEXT(Table1[[#This Row],[Date]],"MMM")</f>
        <v>Nov</v>
      </c>
      <c r="Q315">
        <f>Table1[[#This Row],[Revenue]]-Table1[[#This Row],[Expenses]]</f>
        <v>117755</v>
      </c>
    </row>
    <row r="316" spans="1:17" x14ac:dyDescent="0.3">
      <c r="A316" s="2">
        <v>45972</v>
      </c>
      <c r="B316" t="s">
        <v>17</v>
      </c>
      <c r="C316" t="s">
        <v>24</v>
      </c>
      <c r="D316">
        <v>208947</v>
      </c>
      <c r="E316">
        <v>111073</v>
      </c>
      <c r="F316">
        <v>1429</v>
      </c>
      <c r="G316">
        <v>197686</v>
      </c>
      <c r="H316" t="s">
        <v>58</v>
      </c>
      <c r="I316" t="s">
        <v>37</v>
      </c>
      <c r="J316" t="s">
        <v>21</v>
      </c>
      <c r="K316" t="s">
        <v>49</v>
      </c>
      <c r="L316" t="s">
        <v>151</v>
      </c>
      <c r="M316">
        <v>92.2</v>
      </c>
      <c r="N316">
        <v>90390</v>
      </c>
      <c r="O316">
        <f>YEAR(Table1[[#This Row],[Date]])</f>
        <v>2025</v>
      </c>
      <c r="P316" t="str">
        <f>TEXT(Table1[[#This Row],[Date]],"MMM")</f>
        <v>Nov</v>
      </c>
      <c r="Q316">
        <f>Table1[[#This Row],[Revenue]]-Table1[[#This Row],[Expenses]]</f>
        <v>97874</v>
      </c>
    </row>
    <row r="317" spans="1:17" x14ac:dyDescent="0.3">
      <c r="A317" s="2">
        <v>45973</v>
      </c>
      <c r="B317" t="s">
        <v>45</v>
      </c>
      <c r="C317" t="s">
        <v>41</v>
      </c>
      <c r="D317">
        <v>205713</v>
      </c>
      <c r="E317">
        <v>52310</v>
      </c>
      <c r="F317">
        <v>772</v>
      </c>
      <c r="G317">
        <v>202681</v>
      </c>
      <c r="H317" t="s">
        <v>54</v>
      </c>
      <c r="I317" t="s">
        <v>26</v>
      </c>
      <c r="J317" t="s">
        <v>51</v>
      </c>
      <c r="K317" t="s">
        <v>49</v>
      </c>
      <c r="L317" t="s">
        <v>94</v>
      </c>
      <c r="M317">
        <v>92</v>
      </c>
      <c r="N317">
        <v>160194</v>
      </c>
      <c r="O317">
        <f>YEAR(Table1[[#This Row],[Date]])</f>
        <v>2025</v>
      </c>
      <c r="P317" t="str">
        <f>TEXT(Table1[[#This Row],[Date]],"MMM")</f>
        <v>Nov</v>
      </c>
      <c r="Q317">
        <f>Table1[[#This Row],[Revenue]]-Table1[[#This Row],[Expenses]]</f>
        <v>153403</v>
      </c>
    </row>
    <row r="318" spans="1:17" x14ac:dyDescent="0.3">
      <c r="A318" s="2">
        <v>45974</v>
      </c>
      <c r="B318" t="s">
        <v>17</v>
      </c>
      <c r="C318" t="s">
        <v>33</v>
      </c>
      <c r="D318">
        <v>267825</v>
      </c>
      <c r="E318">
        <v>145765</v>
      </c>
      <c r="F318">
        <v>626</v>
      </c>
      <c r="G318">
        <v>248616</v>
      </c>
      <c r="H318" t="s">
        <v>25</v>
      </c>
      <c r="I318" t="s">
        <v>20</v>
      </c>
      <c r="J318" t="s">
        <v>3</v>
      </c>
      <c r="K318" t="s">
        <v>49</v>
      </c>
      <c r="L318" t="s">
        <v>95</v>
      </c>
      <c r="M318">
        <v>93.8</v>
      </c>
      <c r="N318">
        <v>118138</v>
      </c>
      <c r="O318">
        <f>YEAR(Table1[[#This Row],[Date]])</f>
        <v>2025</v>
      </c>
      <c r="P318" t="str">
        <f>TEXT(Table1[[#This Row],[Date]],"MMM")</f>
        <v>Nov</v>
      </c>
      <c r="Q318">
        <f>Table1[[#This Row],[Revenue]]-Table1[[#This Row],[Expenses]]</f>
        <v>122060</v>
      </c>
    </row>
    <row r="319" spans="1:17" x14ac:dyDescent="0.3">
      <c r="A319" s="2">
        <v>45975</v>
      </c>
      <c r="B319" t="s">
        <v>28</v>
      </c>
      <c r="C319" t="s">
        <v>24</v>
      </c>
      <c r="D319">
        <v>245082</v>
      </c>
      <c r="E319">
        <v>45358</v>
      </c>
      <c r="F319">
        <v>1249</v>
      </c>
      <c r="G319">
        <v>263053</v>
      </c>
      <c r="H319" t="s">
        <v>19</v>
      </c>
      <c r="I319" t="s">
        <v>20</v>
      </c>
      <c r="J319" t="s">
        <v>42</v>
      </c>
      <c r="K319" t="s">
        <v>35</v>
      </c>
      <c r="L319" t="s">
        <v>236</v>
      </c>
      <c r="M319">
        <v>98.4</v>
      </c>
      <c r="N319">
        <v>212679</v>
      </c>
      <c r="O319">
        <f>YEAR(Table1[[#This Row],[Date]])</f>
        <v>2025</v>
      </c>
      <c r="P319" t="str">
        <f>TEXT(Table1[[#This Row],[Date]],"MMM")</f>
        <v>Nov</v>
      </c>
      <c r="Q319">
        <f>Table1[[#This Row],[Revenue]]-Table1[[#This Row],[Expenses]]</f>
        <v>199724</v>
      </c>
    </row>
    <row r="320" spans="1:17" x14ac:dyDescent="0.3">
      <c r="A320" s="2">
        <v>45976</v>
      </c>
      <c r="B320" t="s">
        <v>17</v>
      </c>
      <c r="C320" t="s">
        <v>18</v>
      </c>
      <c r="D320">
        <v>246984</v>
      </c>
      <c r="E320">
        <v>162460</v>
      </c>
      <c r="F320">
        <v>206</v>
      </c>
      <c r="G320">
        <v>270646</v>
      </c>
      <c r="H320" t="s">
        <v>19</v>
      </c>
      <c r="I320" t="s">
        <v>26</v>
      </c>
      <c r="J320" t="s">
        <v>29</v>
      </c>
      <c r="K320" t="s">
        <v>49</v>
      </c>
      <c r="L320" t="s">
        <v>246</v>
      </c>
      <c r="M320">
        <v>85.7</v>
      </c>
      <c r="N320">
        <v>92115</v>
      </c>
      <c r="O320">
        <f>YEAR(Table1[[#This Row],[Date]])</f>
        <v>2025</v>
      </c>
      <c r="P320" t="str">
        <f>TEXT(Table1[[#This Row],[Date]],"MMM")</f>
        <v>Nov</v>
      </c>
      <c r="Q320">
        <f>Table1[[#This Row],[Revenue]]-Table1[[#This Row],[Expenses]]</f>
        <v>84524</v>
      </c>
    </row>
    <row r="321" spans="1:17" x14ac:dyDescent="0.3">
      <c r="A321" s="2">
        <v>45977</v>
      </c>
      <c r="B321" t="s">
        <v>28</v>
      </c>
      <c r="C321" t="s">
        <v>33</v>
      </c>
      <c r="D321">
        <v>53211</v>
      </c>
      <c r="E321">
        <v>39589</v>
      </c>
      <c r="F321">
        <v>1255</v>
      </c>
      <c r="G321">
        <v>57908</v>
      </c>
      <c r="H321" t="s">
        <v>58</v>
      </c>
      <c r="I321" t="s">
        <v>37</v>
      </c>
      <c r="J321" t="s">
        <v>29</v>
      </c>
      <c r="K321" t="s">
        <v>52</v>
      </c>
      <c r="L321" t="s">
        <v>82</v>
      </c>
      <c r="M321">
        <v>78.400000000000006</v>
      </c>
      <c r="N321">
        <v>12784</v>
      </c>
      <c r="O321">
        <f>YEAR(Table1[[#This Row],[Date]])</f>
        <v>2025</v>
      </c>
      <c r="P321" t="str">
        <f>TEXT(Table1[[#This Row],[Date]],"MMM")</f>
        <v>Nov</v>
      </c>
      <c r="Q321">
        <f>Table1[[#This Row],[Revenue]]-Table1[[#This Row],[Expenses]]</f>
        <v>13622</v>
      </c>
    </row>
    <row r="322" spans="1:17" x14ac:dyDescent="0.3">
      <c r="A322" s="2">
        <v>45978</v>
      </c>
      <c r="B322" t="s">
        <v>32</v>
      </c>
      <c r="C322" t="s">
        <v>39</v>
      </c>
      <c r="D322">
        <v>115684</v>
      </c>
      <c r="E322">
        <v>56289</v>
      </c>
      <c r="F322">
        <v>1247</v>
      </c>
      <c r="G322">
        <v>112505</v>
      </c>
      <c r="H322" t="s">
        <v>34</v>
      </c>
      <c r="I322" t="s">
        <v>37</v>
      </c>
      <c r="J322" t="s">
        <v>21</v>
      </c>
      <c r="K322" t="s">
        <v>49</v>
      </c>
      <c r="L322" t="s">
        <v>247</v>
      </c>
      <c r="M322">
        <v>85.9</v>
      </c>
      <c r="N322">
        <v>62468</v>
      </c>
      <c r="O322">
        <f>YEAR(Table1[[#This Row],[Date]])</f>
        <v>2025</v>
      </c>
      <c r="P322" t="str">
        <f>TEXT(Table1[[#This Row],[Date]],"MMM")</f>
        <v>Nov</v>
      </c>
      <c r="Q322">
        <f>Table1[[#This Row],[Revenue]]-Table1[[#This Row],[Expenses]]</f>
        <v>59395</v>
      </c>
    </row>
    <row r="323" spans="1:17" x14ac:dyDescent="0.3">
      <c r="A323" s="2">
        <v>45979</v>
      </c>
      <c r="B323" t="s">
        <v>45</v>
      </c>
      <c r="C323" t="s">
        <v>48</v>
      </c>
      <c r="D323">
        <v>224312</v>
      </c>
      <c r="E323">
        <v>42300</v>
      </c>
      <c r="F323">
        <v>1356</v>
      </c>
      <c r="G323">
        <v>222385</v>
      </c>
      <c r="H323" t="s">
        <v>54</v>
      </c>
      <c r="I323" t="s">
        <v>37</v>
      </c>
      <c r="J323" t="s">
        <v>29</v>
      </c>
      <c r="K323" t="s">
        <v>46</v>
      </c>
      <c r="L323" t="s">
        <v>109</v>
      </c>
      <c r="M323">
        <v>80.8</v>
      </c>
      <c r="N323">
        <v>178806</v>
      </c>
      <c r="O323">
        <f>YEAR(Table1[[#This Row],[Date]])</f>
        <v>2025</v>
      </c>
      <c r="P323" t="str">
        <f>TEXT(Table1[[#This Row],[Date]],"MMM")</f>
        <v>Nov</v>
      </c>
      <c r="Q323">
        <f>Table1[[#This Row],[Revenue]]-Table1[[#This Row],[Expenses]]</f>
        <v>182012</v>
      </c>
    </row>
    <row r="324" spans="1:17" x14ac:dyDescent="0.3">
      <c r="A324" s="2">
        <v>45980</v>
      </c>
      <c r="B324" t="s">
        <v>45</v>
      </c>
      <c r="C324" t="s">
        <v>48</v>
      </c>
      <c r="D324">
        <v>141977</v>
      </c>
      <c r="E324">
        <v>80980</v>
      </c>
      <c r="F324">
        <v>1262</v>
      </c>
      <c r="G324">
        <v>145686</v>
      </c>
      <c r="H324" t="s">
        <v>19</v>
      </c>
      <c r="I324" t="s">
        <v>37</v>
      </c>
      <c r="J324" t="s">
        <v>29</v>
      </c>
      <c r="K324" t="s">
        <v>49</v>
      </c>
      <c r="L324" t="s">
        <v>177</v>
      </c>
      <c r="M324">
        <v>75.7</v>
      </c>
      <c r="N324">
        <v>61927</v>
      </c>
      <c r="O324">
        <f>YEAR(Table1[[#This Row],[Date]])</f>
        <v>2025</v>
      </c>
      <c r="P324" t="str">
        <f>TEXT(Table1[[#This Row],[Date]],"MMM")</f>
        <v>Nov</v>
      </c>
      <c r="Q324">
        <f>Table1[[#This Row],[Revenue]]-Table1[[#This Row],[Expenses]]</f>
        <v>60997</v>
      </c>
    </row>
    <row r="325" spans="1:17" x14ac:dyDescent="0.3">
      <c r="A325" s="2">
        <v>45981</v>
      </c>
      <c r="B325" t="s">
        <v>45</v>
      </c>
      <c r="C325" t="s">
        <v>39</v>
      </c>
      <c r="D325">
        <v>182530</v>
      </c>
      <c r="E325">
        <v>140390</v>
      </c>
      <c r="F325">
        <v>976</v>
      </c>
      <c r="G325">
        <v>170246</v>
      </c>
      <c r="H325" t="s">
        <v>34</v>
      </c>
      <c r="I325" t="s">
        <v>37</v>
      </c>
      <c r="J325" t="s">
        <v>21</v>
      </c>
      <c r="K325" t="s">
        <v>71</v>
      </c>
      <c r="L325" t="s">
        <v>88</v>
      </c>
      <c r="M325">
        <v>91.5</v>
      </c>
      <c r="N325">
        <v>39045</v>
      </c>
      <c r="O325">
        <f>YEAR(Table1[[#This Row],[Date]])</f>
        <v>2025</v>
      </c>
      <c r="P325" t="str">
        <f>TEXT(Table1[[#This Row],[Date]],"MMM")</f>
        <v>Nov</v>
      </c>
      <c r="Q325">
        <f>Table1[[#This Row],[Revenue]]-Table1[[#This Row],[Expenses]]</f>
        <v>42140</v>
      </c>
    </row>
    <row r="326" spans="1:17" x14ac:dyDescent="0.3">
      <c r="A326" s="2">
        <v>45982</v>
      </c>
      <c r="B326" t="s">
        <v>45</v>
      </c>
      <c r="C326" t="s">
        <v>24</v>
      </c>
      <c r="D326">
        <v>158730</v>
      </c>
      <c r="E326">
        <v>101018</v>
      </c>
      <c r="F326">
        <v>1395</v>
      </c>
      <c r="G326">
        <v>143294</v>
      </c>
      <c r="H326" t="s">
        <v>58</v>
      </c>
      <c r="I326" t="s">
        <v>26</v>
      </c>
      <c r="J326" t="s">
        <v>42</v>
      </c>
      <c r="K326" t="s">
        <v>52</v>
      </c>
      <c r="L326" t="s">
        <v>248</v>
      </c>
      <c r="M326">
        <v>82.1</v>
      </c>
      <c r="N326">
        <v>53690</v>
      </c>
      <c r="O326">
        <f>YEAR(Table1[[#This Row],[Date]])</f>
        <v>2025</v>
      </c>
      <c r="P326" t="str">
        <f>TEXT(Table1[[#This Row],[Date]],"MMM")</f>
        <v>Nov</v>
      </c>
      <c r="Q326">
        <f>Table1[[#This Row],[Revenue]]-Table1[[#This Row],[Expenses]]</f>
        <v>57712</v>
      </c>
    </row>
    <row r="327" spans="1:17" x14ac:dyDescent="0.3">
      <c r="A327" s="2">
        <v>45983</v>
      </c>
      <c r="B327" t="s">
        <v>28</v>
      </c>
      <c r="C327" t="s">
        <v>48</v>
      </c>
      <c r="D327">
        <v>105820</v>
      </c>
      <c r="E327">
        <v>59747</v>
      </c>
      <c r="F327">
        <v>760</v>
      </c>
      <c r="G327">
        <v>107667</v>
      </c>
      <c r="H327" t="s">
        <v>19</v>
      </c>
      <c r="I327" t="s">
        <v>37</v>
      </c>
      <c r="J327" t="s">
        <v>51</v>
      </c>
      <c r="K327" t="s">
        <v>35</v>
      </c>
      <c r="L327" t="s">
        <v>116</v>
      </c>
      <c r="M327">
        <v>87.5</v>
      </c>
      <c r="N327">
        <v>43745</v>
      </c>
      <c r="O327">
        <f>YEAR(Table1[[#This Row],[Date]])</f>
        <v>2025</v>
      </c>
      <c r="P327" t="str">
        <f>TEXT(Table1[[#This Row],[Date]],"MMM")</f>
        <v>Nov</v>
      </c>
      <c r="Q327">
        <f>Table1[[#This Row],[Revenue]]-Table1[[#This Row],[Expenses]]</f>
        <v>46073</v>
      </c>
    </row>
    <row r="328" spans="1:17" x14ac:dyDescent="0.3">
      <c r="A328" s="2">
        <v>45984</v>
      </c>
      <c r="B328" t="s">
        <v>32</v>
      </c>
      <c r="C328" t="s">
        <v>18</v>
      </c>
      <c r="D328">
        <v>216482</v>
      </c>
      <c r="E328">
        <v>127542</v>
      </c>
      <c r="F328">
        <v>347</v>
      </c>
      <c r="G328">
        <v>233977</v>
      </c>
      <c r="H328" t="s">
        <v>34</v>
      </c>
      <c r="I328" t="s">
        <v>37</v>
      </c>
      <c r="J328" t="s">
        <v>29</v>
      </c>
      <c r="K328" t="s">
        <v>35</v>
      </c>
      <c r="L328" t="s">
        <v>103</v>
      </c>
      <c r="M328">
        <v>81</v>
      </c>
      <c r="N328">
        <v>81714</v>
      </c>
      <c r="O328">
        <f>YEAR(Table1[[#This Row],[Date]])</f>
        <v>2025</v>
      </c>
      <c r="P328" t="str">
        <f>TEXT(Table1[[#This Row],[Date]],"MMM")</f>
        <v>Nov</v>
      </c>
      <c r="Q328">
        <f>Table1[[#This Row],[Revenue]]-Table1[[#This Row],[Expenses]]</f>
        <v>88940</v>
      </c>
    </row>
    <row r="329" spans="1:17" x14ac:dyDescent="0.3">
      <c r="A329" s="2">
        <v>45985</v>
      </c>
      <c r="B329" t="s">
        <v>17</v>
      </c>
      <c r="C329" t="s">
        <v>18</v>
      </c>
      <c r="D329">
        <v>278350</v>
      </c>
      <c r="E329">
        <v>81696</v>
      </c>
      <c r="F329">
        <v>1348</v>
      </c>
      <c r="G329">
        <v>298428</v>
      </c>
      <c r="H329" t="s">
        <v>58</v>
      </c>
      <c r="I329" t="s">
        <v>26</v>
      </c>
      <c r="J329" t="s">
        <v>51</v>
      </c>
      <c r="K329" t="s">
        <v>43</v>
      </c>
      <c r="L329" t="s">
        <v>132</v>
      </c>
      <c r="M329">
        <v>90.9</v>
      </c>
      <c r="N329">
        <v>180728</v>
      </c>
      <c r="O329">
        <f>YEAR(Table1[[#This Row],[Date]])</f>
        <v>2025</v>
      </c>
      <c r="P329" t="str">
        <f>TEXT(Table1[[#This Row],[Date]],"MMM")</f>
        <v>Nov</v>
      </c>
      <c r="Q329">
        <f>Table1[[#This Row],[Revenue]]-Table1[[#This Row],[Expenses]]</f>
        <v>196654</v>
      </c>
    </row>
    <row r="330" spans="1:17" x14ac:dyDescent="0.3">
      <c r="A330" s="2">
        <v>45986</v>
      </c>
      <c r="B330" t="s">
        <v>32</v>
      </c>
      <c r="C330" t="s">
        <v>18</v>
      </c>
      <c r="D330">
        <v>185236</v>
      </c>
      <c r="E330">
        <v>61128</v>
      </c>
      <c r="F330">
        <v>484</v>
      </c>
      <c r="G330">
        <v>197569</v>
      </c>
      <c r="H330" t="s">
        <v>25</v>
      </c>
      <c r="I330" t="s">
        <v>26</v>
      </c>
      <c r="J330" t="s">
        <v>21</v>
      </c>
      <c r="K330" t="s">
        <v>22</v>
      </c>
      <c r="L330" t="s">
        <v>124</v>
      </c>
      <c r="M330">
        <v>98.3</v>
      </c>
      <c r="N330">
        <v>121456</v>
      </c>
      <c r="O330">
        <f>YEAR(Table1[[#This Row],[Date]])</f>
        <v>2025</v>
      </c>
      <c r="P330" t="str">
        <f>TEXT(Table1[[#This Row],[Date]],"MMM")</f>
        <v>Nov</v>
      </c>
      <c r="Q330">
        <f>Table1[[#This Row],[Revenue]]-Table1[[#This Row],[Expenses]]</f>
        <v>124108</v>
      </c>
    </row>
    <row r="331" spans="1:17" x14ac:dyDescent="0.3">
      <c r="A331" s="2">
        <v>45987</v>
      </c>
      <c r="B331" t="s">
        <v>17</v>
      </c>
      <c r="C331" t="s">
        <v>39</v>
      </c>
      <c r="D331">
        <v>149665</v>
      </c>
      <c r="E331">
        <v>71768</v>
      </c>
      <c r="F331">
        <v>1115</v>
      </c>
      <c r="G331">
        <v>140677</v>
      </c>
      <c r="H331" t="s">
        <v>54</v>
      </c>
      <c r="I331" t="s">
        <v>20</v>
      </c>
      <c r="J331" t="s">
        <v>21</v>
      </c>
      <c r="K331" t="s">
        <v>49</v>
      </c>
      <c r="L331" t="s">
        <v>161</v>
      </c>
      <c r="M331">
        <v>91</v>
      </c>
      <c r="N331">
        <v>77890</v>
      </c>
      <c r="O331">
        <f>YEAR(Table1[[#This Row],[Date]])</f>
        <v>2025</v>
      </c>
      <c r="P331" t="str">
        <f>TEXT(Table1[[#This Row],[Date]],"MMM")</f>
        <v>Nov</v>
      </c>
      <c r="Q331">
        <f>Table1[[#This Row],[Revenue]]-Table1[[#This Row],[Expenses]]</f>
        <v>77897</v>
      </c>
    </row>
    <row r="332" spans="1:17" x14ac:dyDescent="0.3">
      <c r="A332" s="2">
        <v>45988</v>
      </c>
      <c r="B332" t="s">
        <v>28</v>
      </c>
      <c r="C332" t="s">
        <v>24</v>
      </c>
      <c r="D332">
        <v>176161</v>
      </c>
      <c r="E332">
        <v>108746</v>
      </c>
      <c r="F332">
        <v>1464</v>
      </c>
      <c r="G332">
        <v>184618</v>
      </c>
      <c r="H332" t="s">
        <v>19</v>
      </c>
      <c r="I332" t="s">
        <v>37</v>
      </c>
      <c r="J332" t="s">
        <v>29</v>
      </c>
      <c r="K332" t="s">
        <v>22</v>
      </c>
      <c r="L332" t="s">
        <v>249</v>
      </c>
      <c r="M332">
        <v>80</v>
      </c>
      <c r="N332">
        <v>72902</v>
      </c>
      <c r="O332">
        <f>YEAR(Table1[[#This Row],[Date]])</f>
        <v>2025</v>
      </c>
      <c r="P332" t="str">
        <f>TEXT(Table1[[#This Row],[Date]],"MMM")</f>
        <v>Nov</v>
      </c>
      <c r="Q332">
        <f>Table1[[#This Row],[Revenue]]-Table1[[#This Row],[Expenses]]</f>
        <v>67415</v>
      </c>
    </row>
    <row r="333" spans="1:17" x14ac:dyDescent="0.3">
      <c r="A333" s="2">
        <v>45989</v>
      </c>
      <c r="B333" t="s">
        <v>32</v>
      </c>
      <c r="C333" t="s">
        <v>48</v>
      </c>
      <c r="D333">
        <v>238720</v>
      </c>
      <c r="E333">
        <v>56803</v>
      </c>
      <c r="F333">
        <v>277</v>
      </c>
      <c r="G333">
        <v>241030</v>
      </c>
      <c r="H333" t="s">
        <v>58</v>
      </c>
      <c r="I333" t="s">
        <v>20</v>
      </c>
      <c r="J333" t="s">
        <v>29</v>
      </c>
      <c r="K333" t="s">
        <v>49</v>
      </c>
      <c r="L333" t="s">
        <v>180</v>
      </c>
      <c r="M333">
        <v>77.8</v>
      </c>
      <c r="N333">
        <v>164601</v>
      </c>
      <c r="O333">
        <f>YEAR(Table1[[#This Row],[Date]])</f>
        <v>2025</v>
      </c>
      <c r="P333" t="str">
        <f>TEXT(Table1[[#This Row],[Date]],"MMM")</f>
        <v>Nov</v>
      </c>
      <c r="Q333">
        <f>Table1[[#This Row],[Revenue]]-Table1[[#This Row],[Expenses]]</f>
        <v>181917</v>
      </c>
    </row>
    <row r="334" spans="1:17" x14ac:dyDescent="0.3">
      <c r="A334" s="2">
        <v>45990</v>
      </c>
      <c r="B334" t="s">
        <v>28</v>
      </c>
      <c r="C334" t="s">
        <v>41</v>
      </c>
      <c r="D334">
        <v>237706</v>
      </c>
      <c r="E334">
        <v>59161</v>
      </c>
      <c r="F334">
        <v>1244</v>
      </c>
      <c r="G334">
        <v>239154</v>
      </c>
      <c r="H334" t="s">
        <v>25</v>
      </c>
      <c r="I334" t="s">
        <v>20</v>
      </c>
      <c r="J334" t="s">
        <v>42</v>
      </c>
      <c r="K334" t="s">
        <v>24</v>
      </c>
      <c r="L334" t="s">
        <v>38</v>
      </c>
      <c r="M334">
        <v>86.5</v>
      </c>
      <c r="N334">
        <v>168403</v>
      </c>
      <c r="O334">
        <f>YEAR(Table1[[#This Row],[Date]])</f>
        <v>2025</v>
      </c>
      <c r="P334" t="str">
        <f>TEXT(Table1[[#This Row],[Date]],"MMM")</f>
        <v>Nov</v>
      </c>
      <c r="Q334">
        <f>Table1[[#This Row],[Revenue]]-Table1[[#This Row],[Expenses]]</f>
        <v>178545</v>
      </c>
    </row>
    <row r="335" spans="1:17" x14ac:dyDescent="0.3">
      <c r="A335" s="2">
        <v>45991</v>
      </c>
      <c r="B335" t="s">
        <v>45</v>
      </c>
      <c r="C335" t="s">
        <v>24</v>
      </c>
      <c r="D335">
        <v>129770</v>
      </c>
      <c r="E335">
        <v>81744</v>
      </c>
      <c r="F335">
        <v>1480</v>
      </c>
      <c r="G335">
        <v>124362</v>
      </c>
      <c r="H335" t="s">
        <v>19</v>
      </c>
      <c r="I335" t="s">
        <v>20</v>
      </c>
      <c r="J335" t="s">
        <v>3</v>
      </c>
      <c r="K335" t="s">
        <v>30</v>
      </c>
      <c r="L335" t="s">
        <v>250</v>
      </c>
      <c r="M335">
        <v>78.7</v>
      </c>
      <c r="N335">
        <v>45525</v>
      </c>
      <c r="O335">
        <f>YEAR(Table1[[#This Row],[Date]])</f>
        <v>2025</v>
      </c>
      <c r="P335" t="str">
        <f>TEXT(Table1[[#This Row],[Date]],"MMM")</f>
        <v>Nov</v>
      </c>
      <c r="Q335">
        <f>Table1[[#This Row],[Revenue]]-Table1[[#This Row],[Expenses]]</f>
        <v>48026</v>
      </c>
    </row>
    <row r="336" spans="1:17" x14ac:dyDescent="0.3">
      <c r="A336" s="2">
        <v>45992</v>
      </c>
      <c r="B336" t="s">
        <v>32</v>
      </c>
      <c r="C336" t="s">
        <v>48</v>
      </c>
      <c r="D336">
        <v>112166</v>
      </c>
      <c r="E336">
        <v>77229</v>
      </c>
      <c r="F336">
        <v>1270</v>
      </c>
      <c r="G336">
        <v>103291</v>
      </c>
      <c r="H336" t="s">
        <v>19</v>
      </c>
      <c r="I336" t="s">
        <v>26</v>
      </c>
      <c r="J336" t="s">
        <v>29</v>
      </c>
      <c r="K336" t="s">
        <v>35</v>
      </c>
      <c r="L336" t="s">
        <v>174</v>
      </c>
      <c r="M336">
        <v>76.400000000000006</v>
      </c>
      <c r="N336">
        <v>35859</v>
      </c>
      <c r="O336">
        <f>YEAR(Table1[[#This Row],[Date]])</f>
        <v>2025</v>
      </c>
      <c r="P336" t="str">
        <f>TEXT(Table1[[#This Row],[Date]],"MMM")</f>
        <v>Dec</v>
      </c>
      <c r="Q336">
        <f>Table1[[#This Row],[Revenue]]-Table1[[#This Row],[Expenses]]</f>
        <v>34937</v>
      </c>
    </row>
    <row r="337" spans="1:17" x14ac:dyDescent="0.3">
      <c r="A337" s="2">
        <v>45993</v>
      </c>
      <c r="B337" t="s">
        <v>17</v>
      </c>
      <c r="C337" t="s">
        <v>18</v>
      </c>
      <c r="D337">
        <v>125966</v>
      </c>
      <c r="E337">
        <v>84275</v>
      </c>
      <c r="F337">
        <v>885</v>
      </c>
      <c r="G337">
        <v>115821</v>
      </c>
      <c r="H337" t="s">
        <v>54</v>
      </c>
      <c r="I337" t="s">
        <v>20</v>
      </c>
      <c r="J337" t="s">
        <v>42</v>
      </c>
      <c r="K337" t="s">
        <v>49</v>
      </c>
      <c r="L337" t="s">
        <v>128</v>
      </c>
      <c r="M337">
        <v>95.6</v>
      </c>
      <c r="N337">
        <v>40650</v>
      </c>
      <c r="O337">
        <f>YEAR(Table1[[#This Row],[Date]])</f>
        <v>2025</v>
      </c>
      <c r="P337" t="str">
        <f>TEXT(Table1[[#This Row],[Date]],"MMM")</f>
        <v>Dec</v>
      </c>
      <c r="Q337">
        <f>Table1[[#This Row],[Revenue]]-Table1[[#This Row],[Expenses]]</f>
        <v>41691</v>
      </c>
    </row>
    <row r="338" spans="1:17" x14ac:dyDescent="0.3">
      <c r="A338" s="2">
        <v>45994</v>
      </c>
      <c r="B338" t="s">
        <v>45</v>
      </c>
      <c r="C338" t="s">
        <v>33</v>
      </c>
      <c r="D338">
        <v>259501</v>
      </c>
      <c r="E338">
        <v>198690</v>
      </c>
      <c r="F338">
        <v>412</v>
      </c>
      <c r="G338">
        <v>239077</v>
      </c>
      <c r="H338" t="s">
        <v>58</v>
      </c>
      <c r="I338" t="s">
        <v>26</v>
      </c>
      <c r="J338" t="s">
        <v>3</v>
      </c>
      <c r="K338" t="s">
        <v>35</v>
      </c>
      <c r="L338" t="s">
        <v>23</v>
      </c>
      <c r="M338">
        <v>81.3</v>
      </c>
      <c r="N338">
        <v>60479</v>
      </c>
      <c r="O338">
        <f>YEAR(Table1[[#This Row],[Date]])</f>
        <v>2025</v>
      </c>
      <c r="P338" t="str">
        <f>TEXT(Table1[[#This Row],[Date]],"MMM")</f>
        <v>Dec</v>
      </c>
      <c r="Q338">
        <f>Table1[[#This Row],[Revenue]]-Table1[[#This Row],[Expenses]]</f>
        <v>60811</v>
      </c>
    </row>
    <row r="339" spans="1:17" x14ac:dyDescent="0.3">
      <c r="A339" s="2">
        <v>45995</v>
      </c>
      <c r="B339" t="s">
        <v>45</v>
      </c>
      <c r="C339" t="s">
        <v>39</v>
      </c>
      <c r="D339">
        <v>68201</v>
      </c>
      <c r="E339">
        <v>34144</v>
      </c>
      <c r="F339">
        <v>1286</v>
      </c>
      <c r="G339">
        <v>72977</v>
      </c>
      <c r="H339" t="s">
        <v>25</v>
      </c>
      <c r="I339" t="s">
        <v>26</v>
      </c>
      <c r="J339" t="s">
        <v>42</v>
      </c>
      <c r="K339" t="s">
        <v>71</v>
      </c>
      <c r="L339" t="s">
        <v>240</v>
      </c>
      <c r="M339">
        <v>94.4</v>
      </c>
      <c r="N339">
        <v>35543</v>
      </c>
      <c r="O339">
        <f>YEAR(Table1[[#This Row],[Date]])</f>
        <v>2025</v>
      </c>
      <c r="P339" t="str">
        <f>TEXT(Table1[[#This Row],[Date]],"MMM")</f>
        <v>Dec</v>
      </c>
      <c r="Q339">
        <f>Table1[[#This Row],[Revenue]]-Table1[[#This Row],[Expenses]]</f>
        <v>34057</v>
      </c>
    </row>
    <row r="340" spans="1:17" x14ac:dyDescent="0.3">
      <c r="A340" s="2">
        <v>45996</v>
      </c>
      <c r="B340" t="s">
        <v>45</v>
      </c>
      <c r="C340" t="s">
        <v>41</v>
      </c>
      <c r="D340">
        <v>277524</v>
      </c>
      <c r="E340">
        <v>72899</v>
      </c>
      <c r="F340">
        <v>1134</v>
      </c>
      <c r="G340">
        <v>284144</v>
      </c>
      <c r="H340" t="s">
        <v>58</v>
      </c>
      <c r="I340" t="s">
        <v>37</v>
      </c>
      <c r="J340" t="s">
        <v>42</v>
      </c>
      <c r="K340" t="s">
        <v>24</v>
      </c>
      <c r="L340" t="s">
        <v>197</v>
      </c>
      <c r="M340">
        <v>86</v>
      </c>
      <c r="N340">
        <v>212517</v>
      </c>
      <c r="O340">
        <f>YEAR(Table1[[#This Row],[Date]])</f>
        <v>2025</v>
      </c>
      <c r="P340" t="str">
        <f>TEXT(Table1[[#This Row],[Date]],"MMM")</f>
        <v>Dec</v>
      </c>
      <c r="Q340">
        <f>Table1[[#This Row],[Revenue]]-Table1[[#This Row],[Expenses]]</f>
        <v>204625</v>
      </c>
    </row>
    <row r="341" spans="1:17" x14ac:dyDescent="0.3">
      <c r="A341" s="2">
        <v>45997</v>
      </c>
      <c r="B341" t="s">
        <v>32</v>
      </c>
      <c r="C341" t="s">
        <v>24</v>
      </c>
      <c r="D341">
        <v>256848</v>
      </c>
      <c r="E341">
        <v>52976</v>
      </c>
      <c r="F341">
        <v>793</v>
      </c>
      <c r="G341">
        <v>240548</v>
      </c>
      <c r="H341" t="s">
        <v>54</v>
      </c>
      <c r="I341" t="s">
        <v>26</v>
      </c>
      <c r="J341" t="s">
        <v>21</v>
      </c>
      <c r="K341" t="s">
        <v>71</v>
      </c>
      <c r="L341" t="s">
        <v>151</v>
      </c>
      <c r="M341">
        <v>96.9</v>
      </c>
      <c r="N341">
        <v>211734</v>
      </c>
      <c r="O341">
        <f>YEAR(Table1[[#This Row],[Date]])</f>
        <v>2025</v>
      </c>
      <c r="P341" t="str">
        <f>TEXT(Table1[[#This Row],[Date]],"MMM")</f>
        <v>Dec</v>
      </c>
      <c r="Q341">
        <f>Table1[[#This Row],[Revenue]]-Table1[[#This Row],[Expenses]]</f>
        <v>203872</v>
      </c>
    </row>
    <row r="342" spans="1:17" x14ac:dyDescent="0.3">
      <c r="A342" s="2">
        <v>45998</v>
      </c>
      <c r="B342" t="s">
        <v>45</v>
      </c>
      <c r="C342" t="s">
        <v>24</v>
      </c>
      <c r="D342">
        <v>280540</v>
      </c>
      <c r="E342">
        <v>211002</v>
      </c>
      <c r="F342">
        <v>526</v>
      </c>
      <c r="G342">
        <v>279363</v>
      </c>
      <c r="H342" t="s">
        <v>54</v>
      </c>
      <c r="I342" t="s">
        <v>20</v>
      </c>
      <c r="J342" t="s">
        <v>29</v>
      </c>
      <c r="K342" t="s">
        <v>49</v>
      </c>
      <c r="L342" t="s">
        <v>251</v>
      </c>
      <c r="M342">
        <v>78</v>
      </c>
      <c r="N342">
        <v>63635</v>
      </c>
      <c r="O342">
        <f>YEAR(Table1[[#This Row],[Date]])</f>
        <v>2025</v>
      </c>
      <c r="P342" t="str">
        <f>TEXT(Table1[[#This Row],[Date]],"MMM")</f>
        <v>Dec</v>
      </c>
      <c r="Q342">
        <f>Table1[[#This Row],[Revenue]]-Table1[[#This Row],[Expenses]]</f>
        <v>69538</v>
      </c>
    </row>
    <row r="343" spans="1:17" x14ac:dyDescent="0.3">
      <c r="A343" s="2">
        <v>45999</v>
      </c>
      <c r="B343" t="s">
        <v>32</v>
      </c>
      <c r="C343" t="s">
        <v>18</v>
      </c>
      <c r="D343">
        <v>107287</v>
      </c>
      <c r="E343">
        <v>34848</v>
      </c>
      <c r="F343">
        <v>271</v>
      </c>
      <c r="G343">
        <v>110844</v>
      </c>
      <c r="H343" t="s">
        <v>58</v>
      </c>
      <c r="I343" t="s">
        <v>26</v>
      </c>
      <c r="J343" t="s">
        <v>51</v>
      </c>
      <c r="K343" t="s">
        <v>30</v>
      </c>
      <c r="L343" t="s">
        <v>158</v>
      </c>
      <c r="M343">
        <v>79.7</v>
      </c>
      <c r="N343">
        <v>69283</v>
      </c>
      <c r="O343">
        <f>YEAR(Table1[[#This Row],[Date]])</f>
        <v>2025</v>
      </c>
      <c r="P343" t="str">
        <f>TEXT(Table1[[#This Row],[Date]],"MMM")</f>
        <v>Dec</v>
      </c>
      <c r="Q343">
        <f>Table1[[#This Row],[Revenue]]-Table1[[#This Row],[Expenses]]</f>
        <v>72439</v>
      </c>
    </row>
    <row r="344" spans="1:17" x14ac:dyDescent="0.3">
      <c r="A344" s="2">
        <v>46000</v>
      </c>
      <c r="B344" t="s">
        <v>28</v>
      </c>
      <c r="C344" t="s">
        <v>41</v>
      </c>
      <c r="D344">
        <v>85457</v>
      </c>
      <c r="E344">
        <v>64555</v>
      </c>
      <c r="F344">
        <v>524</v>
      </c>
      <c r="G344">
        <v>77195</v>
      </c>
      <c r="H344" t="s">
        <v>58</v>
      </c>
      <c r="I344" t="s">
        <v>20</v>
      </c>
      <c r="J344" t="s">
        <v>21</v>
      </c>
      <c r="K344" t="s">
        <v>46</v>
      </c>
      <c r="L344" t="s">
        <v>252</v>
      </c>
      <c r="M344">
        <v>77.400000000000006</v>
      </c>
      <c r="N344">
        <v>20698</v>
      </c>
      <c r="O344">
        <f>YEAR(Table1[[#This Row],[Date]])</f>
        <v>2025</v>
      </c>
      <c r="P344" t="str">
        <f>TEXT(Table1[[#This Row],[Date]],"MMM")</f>
        <v>Dec</v>
      </c>
      <c r="Q344">
        <f>Table1[[#This Row],[Revenue]]-Table1[[#This Row],[Expenses]]</f>
        <v>20902</v>
      </c>
    </row>
    <row r="345" spans="1:17" x14ac:dyDescent="0.3">
      <c r="A345" s="2">
        <v>46001</v>
      </c>
      <c r="B345" t="s">
        <v>45</v>
      </c>
      <c r="C345" t="s">
        <v>41</v>
      </c>
      <c r="D345">
        <v>72149</v>
      </c>
      <c r="E345">
        <v>35967</v>
      </c>
      <c r="F345">
        <v>603</v>
      </c>
      <c r="G345">
        <v>71664</v>
      </c>
      <c r="H345" t="s">
        <v>19</v>
      </c>
      <c r="I345" t="s">
        <v>20</v>
      </c>
      <c r="J345" t="s">
        <v>29</v>
      </c>
      <c r="K345" t="s">
        <v>35</v>
      </c>
      <c r="L345" t="s">
        <v>214</v>
      </c>
      <c r="M345">
        <v>93.5</v>
      </c>
      <c r="N345">
        <v>37288</v>
      </c>
      <c r="O345">
        <f>YEAR(Table1[[#This Row],[Date]])</f>
        <v>2025</v>
      </c>
      <c r="P345" t="str">
        <f>TEXT(Table1[[#This Row],[Date]],"MMM")</f>
        <v>Dec</v>
      </c>
      <c r="Q345">
        <f>Table1[[#This Row],[Revenue]]-Table1[[#This Row],[Expenses]]</f>
        <v>36182</v>
      </c>
    </row>
    <row r="346" spans="1:17" x14ac:dyDescent="0.3">
      <c r="A346" s="2">
        <v>46002</v>
      </c>
      <c r="B346" t="s">
        <v>45</v>
      </c>
      <c r="C346" t="s">
        <v>24</v>
      </c>
      <c r="D346">
        <v>164577</v>
      </c>
      <c r="E346">
        <v>124008</v>
      </c>
      <c r="F346">
        <v>1353</v>
      </c>
      <c r="G346">
        <v>170226</v>
      </c>
      <c r="H346" t="s">
        <v>58</v>
      </c>
      <c r="I346" t="s">
        <v>20</v>
      </c>
      <c r="J346" t="s">
        <v>3</v>
      </c>
      <c r="K346" t="s">
        <v>49</v>
      </c>
      <c r="L346" t="s">
        <v>62</v>
      </c>
      <c r="M346">
        <v>75.7</v>
      </c>
      <c r="N346">
        <v>44582</v>
      </c>
      <c r="O346">
        <f>YEAR(Table1[[#This Row],[Date]])</f>
        <v>2025</v>
      </c>
      <c r="P346" t="str">
        <f>TEXT(Table1[[#This Row],[Date]],"MMM")</f>
        <v>Dec</v>
      </c>
      <c r="Q346">
        <f>Table1[[#This Row],[Revenue]]-Table1[[#This Row],[Expenses]]</f>
        <v>40569</v>
      </c>
    </row>
    <row r="347" spans="1:17" x14ac:dyDescent="0.3">
      <c r="A347" s="2">
        <v>46003</v>
      </c>
      <c r="B347" t="s">
        <v>17</v>
      </c>
      <c r="C347" t="s">
        <v>41</v>
      </c>
      <c r="D347">
        <v>220615</v>
      </c>
      <c r="E347">
        <v>74048</v>
      </c>
      <c r="F347">
        <v>475</v>
      </c>
      <c r="G347">
        <v>216713</v>
      </c>
      <c r="H347" t="s">
        <v>19</v>
      </c>
      <c r="I347" t="s">
        <v>26</v>
      </c>
      <c r="J347" t="s">
        <v>21</v>
      </c>
      <c r="K347" t="s">
        <v>46</v>
      </c>
      <c r="L347" t="s">
        <v>98</v>
      </c>
      <c r="M347">
        <v>81.099999999999994</v>
      </c>
      <c r="N347">
        <v>132670</v>
      </c>
      <c r="O347">
        <f>YEAR(Table1[[#This Row],[Date]])</f>
        <v>2025</v>
      </c>
      <c r="P347" t="str">
        <f>TEXT(Table1[[#This Row],[Date]],"MMM")</f>
        <v>Dec</v>
      </c>
      <c r="Q347">
        <f>Table1[[#This Row],[Revenue]]-Table1[[#This Row],[Expenses]]</f>
        <v>146567</v>
      </c>
    </row>
    <row r="348" spans="1:17" x14ac:dyDescent="0.3">
      <c r="A348" s="2">
        <v>46004</v>
      </c>
      <c r="B348" t="s">
        <v>32</v>
      </c>
      <c r="C348" t="s">
        <v>39</v>
      </c>
      <c r="D348">
        <v>191572</v>
      </c>
      <c r="E348">
        <v>51125</v>
      </c>
      <c r="F348">
        <v>1476</v>
      </c>
      <c r="G348">
        <v>177328</v>
      </c>
      <c r="H348" t="s">
        <v>54</v>
      </c>
      <c r="I348" t="s">
        <v>26</v>
      </c>
      <c r="J348" t="s">
        <v>3</v>
      </c>
      <c r="K348" t="s">
        <v>22</v>
      </c>
      <c r="L348" t="s">
        <v>113</v>
      </c>
      <c r="M348">
        <v>92.5</v>
      </c>
      <c r="N348">
        <v>141765</v>
      </c>
      <c r="O348">
        <f>YEAR(Table1[[#This Row],[Date]])</f>
        <v>2025</v>
      </c>
      <c r="P348" t="str">
        <f>TEXT(Table1[[#This Row],[Date]],"MMM")</f>
        <v>Dec</v>
      </c>
      <c r="Q348">
        <f>Table1[[#This Row],[Revenue]]-Table1[[#This Row],[Expenses]]</f>
        <v>140447</v>
      </c>
    </row>
    <row r="349" spans="1:17" x14ac:dyDescent="0.3">
      <c r="A349" s="2">
        <v>46005</v>
      </c>
      <c r="B349" t="s">
        <v>17</v>
      </c>
      <c r="C349" t="s">
        <v>33</v>
      </c>
      <c r="D349">
        <v>210379</v>
      </c>
      <c r="E349">
        <v>53963</v>
      </c>
      <c r="F349">
        <v>840</v>
      </c>
      <c r="G349">
        <v>229405</v>
      </c>
      <c r="H349" t="s">
        <v>19</v>
      </c>
      <c r="I349" t="s">
        <v>37</v>
      </c>
      <c r="J349" t="s">
        <v>42</v>
      </c>
      <c r="K349" t="s">
        <v>24</v>
      </c>
      <c r="L349" t="s">
        <v>61</v>
      </c>
      <c r="M349">
        <v>80</v>
      </c>
      <c r="N349">
        <v>166479</v>
      </c>
      <c r="O349">
        <f>YEAR(Table1[[#This Row],[Date]])</f>
        <v>2025</v>
      </c>
      <c r="P349" t="str">
        <f>TEXT(Table1[[#This Row],[Date]],"MMM")</f>
        <v>Dec</v>
      </c>
      <c r="Q349">
        <f>Table1[[#This Row],[Revenue]]-Table1[[#This Row],[Expenses]]</f>
        <v>156416</v>
      </c>
    </row>
    <row r="350" spans="1:17" x14ac:dyDescent="0.3">
      <c r="A350" s="2">
        <v>46006</v>
      </c>
      <c r="B350" t="s">
        <v>45</v>
      </c>
      <c r="C350" t="s">
        <v>48</v>
      </c>
      <c r="D350">
        <v>266565</v>
      </c>
      <c r="E350">
        <v>93007</v>
      </c>
      <c r="F350">
        <v>742</v>
      </c>
      <c r="G350">
        <v>276369</v>
      </c>
      <c r="H350" t="s">
        <v>58</v>
      </c>
      <c r="I350" t="s">
        <v>37</v>
      </c>
      <c r="J350" t="s">
        <v>51</v>
      </c>
      <c r="K350" t="s">
        <v>49</v>
      </c>
      <c r="L350" t="s">
        <v>253</v>
      </c>
      <c r="M350">
        <v>80.8</v>
      </c>
      <c r="N350">
        <v>185970</v>
      </c>
      <c r="O350">
        <f>YEAR(Table1[[#This Row],[Date]])</f>
        <v>2025</v>
      </c>
      <c r="P350" t="str">
        <f>TEXT(Table1[[#This Row],[Date]],"MMM")</f>
        <v>Dec</v>
      </c>
      <c r="Q350">
        <f>Table1[[#This Row],[Revenue]]-Table1[[#This Row],[Expenses]]</f>
        <v>173558</v>
      </c>
    </row>
    <row r="351" spans="1:17" x14ac:dyDescent="0.3">
      <c r="A351" s="2">
        <v>46007</v>
      </c>
      <c r="B351" t="s">
        <v>28</v>
      </c>
      <c r="C351" t="s">
        <v>39</v>
      </c>
      <c r="D351">
        <v>80769</v>
      </c>
      <c r="E351">
        <v>30613</v>
      </c>
      <c r="F351">
        <v>1320</v>
      </c>
      <c r="G351">
        <v>79758</v>
      </c>
      <c r="H351" t="s">
        <v>34</v>
      </c>
      <c r="I351" t="s">
        <v>37</v>
      </c>
      <c r="J351" t="s">
        <v>42</v>
      </c>
      <c r="K351" t="s">
        <v>24</v>
      </c>
      <c r="L351" t="s">
        <v>120</v>
      </c>
      <c r="M351">
        <v>75.900000000000006</v>
      </c>
      <c r="N351">
        <v>46991</v>
      </c>
      <c r="O351">
        <f>YEAR(Table1[[#This Row],[Date]])</f>
        <v>2025</v>
      </c>
      <c r="P351" t="str">
        <f>TEXT(Table1[[#This Row],[Date]],"MMM")</f>
        <v>Dec</v>
      </c>
      <c r="Q351">
        <f>Table1[[#This Row],[Revenue]]-Table1[[#This Row],[Expenses]]</f>
        <v>50156</v>
      </c>
    </row>
    <row r="352" spans="1:17" x14ac:dyDescent="0.3">
      <c r="A352" s="2">
        <v>46008</v>
      </c>
      <c r="B352" t="s">
        <v>17</v>
      </c>
      <c r="C352" t="s">
        <v>24</v>
      </c>
      <c r="D352">
        <v>102341</v>
      </c>
      <c r="E352">
        <v>66842</v>
      </c>
      <c r="F352">
        <v>1326</v>
      </c>
      <c r="G352">
        <v>102295</v>
      </c>
      <c r="H352" t="s">
        <v>25</v>
      </c>
      <c r="I352" t="s">
        <v>37</v>
      </c>
      <c r="J352" t="s">
        <v>3</v>
      </c>
      <c r="K352" t="s">
        <v>46</v>
      </c>
      <c r="L352" t="s">
        <v>125</v>
      </c>
      <c r="M352">
        <v>95.4</v>
      </c>
      <c r="N352">
        <v>37330</v>
      </c>
      <c r="O352">
        <f>YEAR(Table1[[#This Row],[Date]])</f>
        <v>2025</v>
      </c>
      <c r="P352" t="str">
        <f>TEXT(Table1[[#This Row],[Date]],"MMM")</f>
        <v>Dec</v>
      </c>
      <c r="Q352">
        <f>Table1[[#This Row],[Revenue]]-Table1[[#This Row],[Expenses]]</f>
        <v>35499</v>
      </c>
    </row>
    <row r="353" spans="1:17" x14ac:dyDescent="0.3">
      <c r="A353" s="2">
        <v>46009</v>
      </c>
      <c r="B353" t="s">
        <v>32</v>
      </c>
      <c r="C353" t="s">
        <v>48</v>
      </c>
      <c r="D353">
        <v>163845</v>
      </c>
      <c r="E353">
        <v>69571</v>
      </c>
      <c r="F353">
        <v>1450</v>
      </c>
      <c r="G353">
        <v>168771</v>
      </c>
      <c r="H353" t="s">
        <v>19</v>
      </c>
      <c r="I353" t="s">
        <v>20</v>
      </c>
      <c r="J353" t="s">
        <v>21</v>
      </c>
      <c r="K353" t="s">
        <v>52</v>
      </c>
      <c r="L353" t="s">
        <v>106</v>
      </c>
      <c r="M353">
        <v>78.5</v>
      </c>
      <c r="N353">
        <v>91786</v>
      </c>
      <c r="O353">
        <f>YEAR(Table1[[#This Row],[Date]])</f>
        <v>2025</v>
      </c>
      <c r="P353" t="str">
        <f>TEXT(Table1[[#This Row],[Date]],"MMM")</f>
        <v>Dec</v>
      </c>
      <c r="Q353">
        <f>Table1[[#This Row],[Revenue]]-Table1[[#This Row],[Expenses]]</f>
        <v>94274</v>
      </c>
    </row>
    <row r="354" spans="1:17" x14ac:dyDescent="0.3">
      <c r="A354" s="2">
        <v>46010</v>
      </c>
      <c r="B354" t="s">
        <v>17</v>
      </c>
      <c r="C354" t="s">
        <v>18</v>
      </c>
      <c r="D354">
        <v>132592</v>
      </c>
      <c r="E354">
        <v>62992</v>
      </c>
      <c r="F354">
        <v>1235</v>
      </c>
      <c r="G354">
        <v>119902</v>
      </c>
      <c r="H354" t="s">
        <v>58</v>
      </c>
      <c r="I354" t="s">
        <v>26</v>
      </c>
      <c r="J354" t="s">
        <v>42</v>
      </c>
      <c r="K354" t="s">
        <v>35</v>
      </c>
      <c r="L354" t="s">
        <v>77</v>
      </c>
      <c r="M354">
        <v>82.4</v>
      </c>
      <c r="N354">
        <v>71464</v>
      </c>
      <c r="O354">
        <f>YEAR(Table1[[#This Row],[Date]])</f>
        <v>2025</v>
      </c>
      <c r="P354" t="str">
        <f>TEXT(Table1[[#This Row],[Date]],"MMM")</f>
        <v>Dec</v>
      </c>
      <c r="Q354">
        <f>Table1[[#This Row],[Revenue]]-Table1[[#This Row],[Expenses]]</f>
        <v>69600</v>
      </c>
    </row>
    <row r="355" spans="1:17" x14ac:dyDescent="0.3">
      <c r="A355" s="2">
        <v>46011</v>
      </c>
      <c r="B355" t="s">
        <v>17</v>
      </c>
      <c r="C355" t="s">
        <v>33</v>
      </c>
      <c r="D355">
        <v>175501</v>
      </c>
      <c r="E355">
        <v>86026</v>
      </c>
      <c r="F355">
        <v>1467</v>
      </c>
      <c r="G355">
        <v>192081</v>
      </c>
      <c r="H355" t="s">
        <v>25</v>
      </c>
      <c r="I355" t="s">
        <v>37</v>
      </c>
      <c r="J355" t="s">
        <v>3</v>
      </c>
      <c r="K355" t="s">
        <v>22</v>
      </c>
      <c r="L355" t="s">
        <v>78</v>
      </c>
      <c r="M355">
        <v>98.4</v>
      </c>
      <c r="N355">
        <v>96077</v>
      </c>
      <c r="O355">
        <f>YEAR(Table1[[#This Row],[Date]])</f>
        <v>2025</v>
      </c>
      <c r="P355" t="str">
        <f>TEXT(Table1[[#This Row],[Date]],"MMM")</f>
        <v>Dec</v>
      </c>
      <c r="Q355">
        <f>Table1[[#This Row],[Revenue]]-Table1[[#This Row],[Expenses]]</f>
        <v>89475</v>
      </c>
    </row>
    <row r="356" spans="1:17" x14ac:dyDescent="0.3">
      <c r="A356" s="2">
        <v>46012</v>
      </c>
      <c r="B356" t="s">
        <v>45</v>
      </c>
      <c r="C356" t="s">
        <v>39</v>
      </c>
      <c r="D356">
        <v>122541</v>
      </c>
      <c r="E356">
        <v>69339</v>
      </c>
      <c r="F356">
        <v>779</v>
      </c>
      <c r="G356">
        <v>115137</v>
      </c>
      <c r="H356" t="s">
        <v>54</v>
      </c>
      <c r="I356" t="s">
        <v>37</v>
      </c>
      <c r="J356" t="s">
        <v>21</v>
      </c>
      <c r="K356" t="s">
        <v>24</v>
      </c>
      <c r="L356" t="s">
        <v>235</v>
      </c>
      <c r="M356">
        <v>91.9</v>
      </c>
      <c r="N356">
        <v>49012</v>
      </c>
      <c r="O356">
        <f>YEAR(Table1[[#This Row],[Date]])</f>
        <v>2025</v>
      </c>
      <c r="P356" t="str">
        <f>TEXT(Table1[[#This Row],[Date]],"MMM")</f>
        <v>Dec</v>
      </c>
      <c r="Q356">
        <f>Table1[[#This Row],[Revenue]]-Table1[[#This Row],[Expenses]]</f>
        <v>53202</v>
      </c>
    </row>
    <row r="357" spans="1:17" x14ac:dyDescent="0.3">
      <c r="A357" s="2">
        <v>46013</v>
      </c>
      <c r="B357" t="s">
        <v>45</v>
      </c>
      <c r="C357" t="s">
        <v>39</v>
      </c>
      <c r="D357">
        <v>126479</v>
      </c>
      <c r="E357">
        <v>42835</v>
      </c>
      <c r="F357">
        <v>1263</v>
      </c>
      <c r="G357">
        <v>122014</v>
      </c>
      <c r="H357" t="s">
        <v>19</v>
      </c>
      <c r="I357" t="s">
        <v>37</v>
      </c>
      <c r="J357" t="s">
        <v>51</v>
      </c>
      <c r="K357" t="s">
        <v>35</v>
      </c>
      <c r="L357" t="s">
        <v>230</v>
      </c>
      <c r="M357">
        <v>88.3</v>
      </c>
      <c r="N357">
        <v>86746</v>
      </c>
      <c r="O357">
        <f>YEAR(Table1[[#This Row],[Date]])</f>
        <v>2025</v>
      </c>
      <c r="P357" t="str">
        <f>TEXT(Table1[[#This Row],[Date]],"MMM")</f>
        <v>Dec</v>
      </c>
      <c r="Q357">
        <f>Table1[[#This Row],[Revenue]]-Table1[[#This Row],[Expenses]]</f>
        <v>83644</v>
      </c>
    </row>
    <row r="358" spans="1:17" x14ac:dyDescent="0.3">
      <c r="A358" s="2">
        <v>46014</v>
      </c>
      <c r="B358" t="s">
        <v>32</v>
      </c>
      <c r="C358" t="s">
        <v>33</v>
      </c>
      <c r="D358">
        <v>60262</v>
      </c>
      <c r="E358">
        <v>34242</v>
      </c>
      <c r="F358">
        <v>1122</v>
      </c>
      <c r="G358">
        <v>55948</v>
      </c>
      <c r="H358" t="s">
        <v>54</v>
      </c>
      <c r="I358" t="s">
        <v>20</v>
      </c>
      <c r="J358" t="s">
        <v>42</v>
      </c>
      <c r="K358" t="s">
        <v>49</v>
      </c>
      <c r="L358" t="s">
        <v>88</v>
      </c>
      <c r="M358">
        <v>90</v>
      </c>
      <c r="N358">
        <v>26373</v>
      </c>
      <c r="O358">
        <f>YEAR(Table1[[#This Row],[Date]])</f>
        <v>2025</v>
      </c>
      <c r="P358" t="str">
        <f>TEXT(Table1[[#This Row],[Date]],"MMM")</f>
        <v>Dec</v>
      </c>
      <c r="Q358">
        <f>Table1[[#This Row],[Revenue]]-Table1[[#This Row],[Expenses]]</f>
        <v>26020</v>
      </c>
    </row>
    <row r="359" spans="1:17" x14ac:dyDescent="0.3">
      <c r="A359" s="2">
        <v>46015</v>
      </c>
      <c r="B359" t="s">
        <v>45</v>
      </c>
      <c r="C359" t="s">
        <v>41</v>
      </c>
      <c r="D359">
        <v>111488</v>
      </c>
      <c r="E359">
        <v>54163</v>
      </c>
      <c r="F359">
        <v>683</v>
      </c>
      <c r="G359">
        <v>110969</v>
      </c>
      <c r="H359" t="s">
        <v>34</v>
      </c>
      <c r="I359" t="s">
        <v>26</v>
      </c>
      <c r="J359" t="s">
        <v>51</v>
      </c>
      <c r="K359" t="s">
        <v>71</v>
      </c>
      <c r="L359" t="s">
        <v>216</v>
      </c>
      <c r="M359">
        <v>87.1</v>
      </c>
      <c r="N359">
        <v>54696</v>
      </c>
      <c r="O359">
        <f>YEAR(Table1[[#This Row],[Date]])</f>
        <v>2025</v>
      </c>
      <c r="P359" t="str">
        <f>TEXT(Table1[[#This Row],[Date]],"MMM")</f>
        <v>Dec</v>
      </c>
      <c r="Q359">
        <f>Table1[[#This Row],[Revenue]]-Table1[[#This Row],[Expenses]]</f>
        <v>57325</v>
      </c>
    </row>
    <row r="360" spans="1:17" x14ac:dyDescent="0.3">
      <c r="A360" s="2">
        <v>46016</v>
      </c>
      <c r="B360" t="s">
        <v>17</v>
      </c>
      <c r="C360" t="s">
        <v>33</v>
      </c>
      <c r="D360">
        <v>109220</v>
      </c>
      <c r="E360">
        <v>35896</v>
      </c>
      <c r="F360">
        <v>1042</v>
      </c>
      <c r="G360">
        <v>116480</v>
      </c>
      <c r="H360" t="s">
        <v>54</v>
      </c>
      <c r="I360" t="s">
        <v>20</v>
      </c>
      <c r="J360" t="s">
        <v>3</v>
      </c>
      <c r="K360" t="s">
        <v>71</v>
      </c>
      <c r="L360" t="s">
        <v>254</v>
      </c>
      <c r="M360">
        <v>95.2</v>
      </c>
      <c r="N360">
        <v>72640</v>
      </c>
      <c r="O360">
        <f>YEAR(Table1[[#This Row],[Date]])</f>
        <v>2025</v>
      </c>
      <c r="P360" t="str">
        <f>TEXT(Table1[[#This Row],[Date]],"MMM")</f>
        <v>Dec</v>
      </c>
      <c r="Q360">
        <f>Table1[[#This Row],[Revenue]]-Table1[[#This Row],[Expenses]]</f>
        <v>73324</v>
      </c>
    </row>
    <row r="361" spans="1:17" x14ac:dyDescent="0.3">
      <c r="A361" s="2">
        <v>46017</v>
      </c>
      <c r="B361" t="s">
        <v>28</v>
      </c>
      <c r="C361" t="s">
        <v>24</v>
      </c>
      <c r="D361">
        <v>253825</v>
      </c>
      <c r="E361">
        <v>126005</v>
      </c>
      <c r="F361">
        <v>991</v>
      </c>
      <c r="G361">
        <v>270356</v>
      </c>
      <c r="H361" t="s">
        <v>19</v>
      </c>
      <c r="I361" t="s">
        <v>37</v>
      </c>
      <c r="J361" t="s">
        <v>29</v>
      </c>
      <c r="K361" t="s">
        <v>46</v>
      </c>
      <c r="L361" t="s">
        <v>255</v>
      </c>
      <c r="M361">
        <v>82.4</v>
      </c>
      <c r="N361">
        <v>133024</v>
      </c>
      <c r="O361">
        <f>YEAR(Table1[[#This Row],[Date]])</f>
        <v>2025</v>
      </c>
      <c r="P361" t="str">
        <f>TEXT(Table1[[#This Row],[Date]],"MMM")</f>
        <v>Dec</v>
      </c>
      <c r="Q361">
        <f>Table1[[#This Row],[Revenue]]-Table1[[#This Row],[Expenses]]</f>
        <v>127820</v>
      </c>
    </row>
    <row r="362" spans="1:17" x14ac:dyDescent="0.3">
      <c r="A362" s="2">
        <v>46018</v>
      </c>
      <c r="B362" t="s">
        <v>28</v>
      </c>
      <c r="C362" t="s">
        <v>41</v>
      </c>
      <c r="D362">
        <v>134994</v>
      </c>
      <c r="E362">
        <v>87589</v>
      </c>
      <c r="F362">
        <v>807</v>
      </c>
      <c r="G362">
        <v>138145</v>
      </c>
      <c r="H362" t="s">
        <v>54</v>
      </c>
      <c r="I362" t="s">
        <v>37</v>
      </c>
      <c r="J362" t="s">
        <v>21</v>
      </c>
      <c r="K362" t="s">
        <v>43</v>
      </c>
      <c r="L362" t="s">
        <v>246</v>
      </c>
      <c r="M362">
        <v>97.8</v>
      </c>
      <c r="N362">
        <v>49924</v>
      </c>
      <c r="O362">
        <f>YEAR(Table1[[#This Row],[Date]])</f>
        <v>2025</v>
      </c>
      <c r="P362" t="str">
        <f>TEXT(Table1[[#This Row],[Date]],"MMM")</f>
        <v>Dec</v>
      </c>
      <c r="Q362">
        <f>Table1[[#This Row],[Revenue]]-Table1[[#This Row],[Expenses]]</f>
        <v>47405</v>
      </c>
    </row>
    <row r="363" spans="1:17" x14ac:dyDescent="0.3">
      <c r="A363" s="2">
        <v>46019</v>
      </c>
      <c r="B363" t="s">
        <v>45</v>
      </c>
      <c r="C363" t="s">
        <v>41</v>
      </c>
      <c r="D363">
        <v>169299</v>
      </c>
      <c r="E363">
        <v>132520</v>
      </c>
      <c r="F363">
        <v>1239</v>
      </c>
      <c r="G363">
        <v>172623</v>
      </c>
      <c r="H363" t="s">
        <v>54</v>
      </c>
      <c r="I363" t="s">
        <v>37</v>
      </c>
      <c r="J363" t="s">
        <v>29</v>
      </c>
      <c r="K363" t="s">
        <v>46</v>
      </c>
      <c r="L363" t="s">
        <v>256</v>
      </c>
      <c r="M363">
        <v>84.4</v>
      </c>
      <c r="N363">
        <v>40362</v>
      </c>
      <c r="O363">
        <f>YEAR(Table1[[#This Row],[Date]])</f>
        <v>2025</v>
      </c>
      <c r="P363" t="str">
        <f>TEXT(Table1[[#This Row],[Date]],"MMM")</f>
        <v>Dec</v>
      </c>
      <c r="Q363">
        <f>Table1[[#This Row],[Revenue]]-Table1[[#This Row],[Expenses]]</f>
        <v>36779</v>
      </c>
    </row>
    <row r="364" spans="1:17" x14ac:dyDescent="0.3">
      <c r="A364" s="2">
        <v>46020</v>
      </c>
      <c r="B364" t="s">
        <v>17</v>
      </c>
      <c r="C364" t="s">
        <v>41</v>
      </c>
      <c r="D364">
        <v>146160</v>
      </c>
      <c r="E364">
        <v>38064</v>
      </c>
      <c r="F364">
        <v>980</v>
      </c>
      <c r="G364">
        <v>137451</v>
      </c>
      <c r="H364" t="s">
        <v>58</v>
      </c>
      <c r="I364" t="s">
        <v>26</v>
      </c>
      <c r="J364" t="s">
        <v>3</v>
      </c>
      <c r="K364" t="s">
        <v>35</v>
      </c>
      <c r="L364" t="s">
        <v>257</v>
      </c>
      <c r="M364">
        <v>98.8</v>
      </c>
      <c r="N364">
        <v>110202</v>
      </c>
      <c r="O364">
        <f>YEAR(Table1[[#This Row],[Date]])</f>
        <v>2025</v>
      </c>
      <c r="P364" t="str">
        <f>TEXT(Table1[[#This Row],[Date]],"MMM")</f>
        <v>Dec</v>
      </c>
      <c r="Q364">
        <f>Table1[[#This Row],[Revenue]]-Table1[[#This Row],[Expenses]]</f>
        <v>108096</v>
      </c>
    </row>
    <row r="365" spans="1:17" x14ac:dyDescent="0.3">
      <c r="A365" s="2">
        <v>46021</v>
      </c>
      <c r="B365" t="s">
        <v>28</v>
      </c>
      <c r="C365" t="s">
        <v>24</v>
      </c>
      <c r="D365">
        <v>289716</v>
      </c>
      <c r="E365">
        <v>112185</v>
      </c>
      <c r="F365">
        <v>881</v>
      </c>
      <c r="G365">
        <v>310141</v>
      </c>
      <c r="H365" t="s">
        <v>58</v>
      </c>
      <c r="I365" t="s">
        <v>20</v>
      </c>
      <c r="J365" t="s">
        <v>51</v>
      </c>
      <c r="K365" t="s">
        <v>52</v>
      </c>
      <c r="L365" t="s">
        <v>59</v>
      </c>
      <c r="M365">
        <v>88.8</v>
      </c>
      <c r="N365">
        <v>168334</v>
      </c>
      <c r="O365">
        <f>YEAR(Table1[[#This Row],[Date]])</f>
        <v>2025</v>
      </c>
      <c r="P365" t="str">
        <f>TEXT(Table1[[#This Row],[Date]],"MMM")</f>
        <v>Dec</v>
      </c>
      <c r="Q365">
        <f>Table1[[#This Row],[Revenue]]-Table1[[#This Row],[Expenses]]</f>
        <v>177531</v>
      </c>
    </row>
    <row r="366" spans="1:17" x14ac:dyDescent="0.3">
      <c r="A366" s="2">
        <v>46022</v>
      </c>
      <c r="B366" t="s">
        <v>17</v>
      </c>
      <c r="C366" t="s">
        <v>24</v>
      </c>
      <c r="D366">
        <v>55993</v>
      </c>
      <c r="E366">
        <v>36693</v>
      </c>
      <c r="F366">
        <v>995</v>
      </c>
      <c r="G366">
        <v>60265</v>
      </c>
      <c r="H366" t="s">
        <v>19</v>
      </c>
      <c r="I366" t="s">
        <v>20</v>
      </c>
      <c r="J366" t="s">
        <v>42</v>
      </c>
      <c r="K366" t="s">
        <v>49</v>
      </c>
      <c r="L366" t="s">
        <v>191</v>
      </c>
      <c r="M366">
        <v>76.8</v>
      </c>
      <c r="N366">
        <v>18481</v>
      </c>
      <c r="O366">
        <f>YEAR(Table1[[#This Row],[Date]])</f>
        <v>2025</v>
      </c>
      <c r="P366" t="str">
        <f>TEXT(Table1[[#This Row],[Date]],"MMM")</f>
        <v>Dec</v>
      </c>
      <c r="Q366">
        <f>Table1[[#This Row],[Revenue]]-Table1[[#This Row],[Expenses]]</f>
        <v>19300</v>
      </c>
    </row>
    <row r="367" spans="1:17" x14ac:dyDescent="0.3">
      <c r="A367" s="2">
        <v>46023</v>
      </c>
      <c r="B367" t="s">
        <v>28</v>
      </c>
      <c r="C367" t="s">
        <v>33</v>
      </c>
      <c r="D367">
        <v>294569</v>
      </c>
      <c r="E367">
        <v>117833</v>
      </c>
      <c r="F367">
        <v>456</v>
      </c>
      <c r="G367">
        <v>321643</v>
      </c>
      <c r="H367" t="s">
        <v>54</v>
      </c>
      <c r="I367" t="s">
        <v>26</v>
      </c>
      <c r="J367" t="s">
        <v>29</v>
      </c>
      <c r="K367" t="s">
        <v>49</v>
      </c>
      <c r="L367" t="s">
        <v>258</v>
      </c>
      <c r="M367">
        <v>84.4</v>
      </c>
      <c r="N367">
        <v>185798</v>
      </c>
      <c r="O367">
        <f>YEAR(Table1[[#This Row],[Date]])</f>
        <v>2026</v>
      </c>
      <c r="P367" t="str">
        <f>TEXT(Table1[[#This Row],[Date]],"MMM")</f>
        <v>Jan</v>
      </c>
      <c r="Q367">
        <f>Table1[[#This Row],[Revenue]]-Table1[[#This Row],[Expenses]]</f>
        <v>176736</v>
      </c>
    </row>
    <row r="368" spans="1:17" x14ac:dyDescent="0.3">
      <c r="A368" s="2">
        <v>46024</v>
      </c>
      <c r="B368" t="s">
        <v>17</v>
      </c>
      <c r="C368" t="s">
        <v>24</v>
      </c>
      <c r="D368">
        <v>66393</v>
      </c>
      <c r="E368">
        <v>40541</v>
      </c>
      <c r="F368">
        <v>712</v>
      </c>
      <c r="G368">
        <v>64468</v>
      </c>
      <c r="H368" t="s">
        <v>34</v>
      </c>
      <c r="I368" t="s">
        <v>37</v>
      </c>
      <c r="J368" t="s">
        <v>42</v>
      </c>
      <c r="K368" t="s">
        <v>22</v>
      </c>
      <c r="L368" t="s">
        <v>65</v>
      </c>
      <c r="M368">
        <v>88.6</v>
      </c>
      <c r="N368">
        <v>23424</v>
      </c>
      <c r="O368">
        <f>YEAR(Table1[[#This Row],[Date]])</f>
        <v>2026</v>
      </c>
      <c r="P368" t="str">
        <f>TEXT(Table1[[#This Row],[Date]],"MMM")</f>
        <v>Jan</v>
      </c>
      <c r="Q368">
        <f>Table1[[#This Row],[Revenue]]-Table1[[#This Row],[Expenses]]</f>
        <v>25852</v>
      </c>
    </row>
    <row r="369" spans="1:17" x14ac:dyDescent="0.3">
      <c r="A369" s="2">
        <v>46025</v>
      </c>
      <c r="B369" t="s">
        <v>32</v>
      </c>
      <c r="C369" t="s">
        <v>33</v>
      </c>
      <c r="D369">
        <v>71846</v>
      </c>
      <c r="E369">
        <v>38363</v>
      </c>
      <c r="F369">
        <v>634</v>
      </c>
      <c r="G369">
        <v>73749</v>
      </c>
      <c r="H369" t="s">
        <v>25</v>
      </c>
      <c r="I369" t="s">
        <v>20</v>
      </c>
      <c r="J369" t="s">
        <v>42</v>
      </c>
      <c r="K369" t="s">
        <v>35</v>
      </c>
      <c r="L369" t="s">
        <v>259</v>
      </c>
      <c r="M369">
        <v>96.9</v>
      </c>
      <c r="N369">
        <v>34794</v>
      </c>
      <c r="O369">
        <f>YEAR(Table1[[#This Row],[Date]])</f>
        <v>2026</v>
      </c>
      <c r="P369" t="str">
        <f>TEXT(Table1[[#This Row],[Date]],"MMM")</f>
        <v>Jan</v>
      </c>
      <c r="Q369">
        <f>Table1[[#This Row],[Revenue]]-Table1[[#This Row],[Expenses]]</f>
        <v>33483</v>
      </c>
    </row>
    <row r="370" spans="1:17" x14ac:dyDescent="0.3">
      <c r="A370" s="2">
        <v>46026</v>
      </c>
      <c r="B370" t="s">
        <v>17</v>
      </c>
      <c r="C370" t="s">
        <v>39</v>
      </c>
      <c r="D370">
        <v>254992</v>
      </c>
      <c r="E370">
        <v>52041</v>
      </c>
      <c r="F370">
        <v>598</v>
      </c>
      <c r="G370">
        <v>247071</v>
      </c>
      <c r="H370" t="s">
        <v>54</v>
      </c>
      <c r="I370" t="s">
        <v>37</v>
      </c>
      <c r="J370" t="s">
        <v>29</v>
      </c>
      <c r="K370" t="s">
        <v>46</v>
      </c>
      <c r="L370" t="s">
        <v>217</v>
      </c>
      <c r="M370">
        <v>94.9</v>
      </c>
      <c r="N370">
        <v>194525</v>
      </c>
      <c r="O370">
        <f>YEAR(Table1[[#This Row],[Date]])</f>
        <v>2026</v>
      </c>
      <c r="P370" t="str">
        <f>TEXT(Table1[[#This Row],[Date]],"MMM")</f>
        <v>Jan</v>
      </c>
      <c r="Q370">
        <f>Table1[[#This Row],[Revenue]]-Table1[[#This Row],[Expenses]]</f>
        <v>202951</v>
      </c>
    </row>
    <row r="371" spans="1:17" x14ac:dyDescent="0.3">
      <c r="A371" s="2">
        <v>46027</v>
      </c>
      <c r="B371" t="s">
        <v>17</v>
      </c>
      <c r="C371" t="s">
        <v>39</v>
      </c>
      <c r="D371">
        <v>66602</v>
      </c>
      <c r="E371">
        <v>48132</v>
      </c>
      <c r="F371">
        <v>608</v>
      </c>
      <c r="G371">
        <v>68764</v>
      </c>
      <c r="H371" t="s">
        <v>19</v>
      </c>
      <c r="I371" t="s">
        <v>20</v>
      </c>
      <c r="J371" t="s">
        <v>29</v>
      </c>
      <c r="K371" t="s">
        <v>52</v>
      </c>
      <c r="L371" t="s">
        <v>260</v>
      </c>
      <c r="M371">
        <v>90.4</v>
      </c>
      <c r="N371">
        <v>20198</v>
      </c>
      <c r="O371">
        <f>YEAR(Table1[[#This Row],[Date]])</f>
        <v>2026</v>
      </c>
      <c r="P371" t="str">
        <f>TEXT(Table1[[#This Row],[Date]],"MMM")</f>
        <v>Jan</v>
      </c>
      <c r="Q371">
        <f>Table1[[#This Row],[Revenue]]-Table1[[#This Row],[Expenses]]</f>
        <v>18470</v>
      </c>
    </row>
    <row r="372" spans="1:17" x14ac:dyDescent="0.3">
      <c r="A372" s="2">
        <v>46028</v>
      </c>
      <c r="B372" t="s">
        <v>32</v>
      </c>
      <c r="C372" t="s">
        <v>33</v>
      </c>
      <c r="D372">
        <v>137411</v>
      </c>
      <c r="E372">
        <v>59655</v>
      </c>
      <c r="F372">
        <v>1432</v>
      </c>
      <c r="G372">
        <v>148804</v>
      </c>
      <c r="H372" t="s">
        <v>58</v>
      </c>
      <c r="I372" t="s">
        <v>26</v>
      </c>
      <c r="J372" t="s">
        <v>51</v>
      </c>
      <c r="K372" t="s">
        <v>49</v>
      </c>
      <c r="L372" t="s">
        <v>140</v>
      </c>
      <c r="M372">
        <v>93.3</v>
      </c>
      <c r="N372">
        <v>71593</v>
      </c>
      <c r="O372">
        <f>YEAR(Table1[[#This Row],[Date]])</f>
        <v>2026</v>
      </c>
      <c r="P372" t="str">
        <f>TEXT(Table1[[#This Row],[Date]],"MMM")</f>
        <v>Jan</v>
      </c>
      <c r="Q372">
        <f>Table1[[#This Row],[Revenue]]-Table1[[#This Row],[Expenses]]</f>
        <v>77756</v>
      </c>
    </row>
    <row r="373" spans="1:17" x14ac:dyDescent="0.3">
      <c r="A373" s="2">
        <v>46029</v>
      </c>
      <c r="B373" t="s">
        <v>17</v>
      </c>
      <c r="C373" t="s">
        <v>48</v>
      </c>
      <c r="D373">
        <v>59198</v>
      </c>
      <c r="E373">
        <v>38072</v>
      </c>
      <c r="F373">
        <v>558</v>
      </c>
      <c r="G373">
        <v>64720</v>
      </c>
      <c r="H373" t="s">
        <v>25</v>
      </c>
      <c r="I373" t="s">
        <v>20</v>
      </c>
      <c r="J373" t="s">
        <v>3</v>
      </c>
      <c r="K373" t="s">
        <v>49</v>
      </c>
      <c r="L373" t="s">
        <v>225</v>
      </c>
      <c r="M373">
        <v>93.3</v>
      </c>
      <c r="N373">
        <v>22960</v>
      </c>
      <c r="O373">
        <f>YEAR(Table1[[#This Row],[Date]])</f>
        <v>2026</v>
      </c>
      <c r="P373" t="str">
        <f>TEXT(Table1[[#This Row],[Date]],"MMM")</f>
        <v>Jan</v>
      </c>
      <c r="Q373">
        <f>Table1[[#This Row],[Revenue]]-Table1[[#This Row],[Expenses]]</f>
        <v>21126</v>
      </c>
    </row>
    <row r="374" spans="1:17" x14ac:dyDescent="0.3">
      <c r="A374" s="2">
        <v>46030</v>
      </c>
      <c r="B374" t="s">
        <v>32</v>
      </c>
      <c r="C374" t="s">
        <v>18</v>
      </c>
      <c r="D374">
        <v>218942</v>
      </c>
      <c r="E374">
        <v>49503</v>
      </c>
      <c r="F374">
        <v>890</v>
      </c>
      <c r="G374">
        <v>210540</v>
      </c>
      <c r="H374" t="s">
        <v>19</v>
      </c>
      <c r="I374" t="s">
        <v>26</v>
      </c>
      <c r="J374" t="s">
        <v>42</v>
      </c>
      <c r="K374" t="s">
        <v>22</v>
      </c>
      <c r="L374" t="s">
        <v>137</v>
      </c>
      <c r="M374">
        <v>90.2</v>
      </c>
      <c r="N374">
        <v>165589</v>
      </c>
      <c r="O374">
        <f>YEAR(Table1[[#This Row],[Date]])</f>
        <v>2026</v>
      </c>
      <c r="P374" t="str">
        <f>TEXT(Table1[[#This Row],[Date]],"MMM")</f>
        <v>Jan</v>
      </c>
      <c r="Q374">
        <f>Table1[[#This Row],[Revenue]]-Table1[[#This Row],[Expenses]]</f>
        <v>169439</v>
      </c>
    </row>
    <row r="375" spans="1:17" x14ac:dyDescent="0.3">
      <c r="A375" s="2">
        <v>46031</v>
      </c>
      <c r="B375" t="s">
        <v>17</v>
      </c>
      <c r="C375" t="s">
        <v>18</v>
      </c>
      <c r="D375">
        <v>109565</v>
      </c>
      <c r="E375">
        <v>74275</v>
      </c>
      <c r="F375">
        <v>519</v>
      </c>
      <c r="G375">
        <v>111096</v>
      </c>
      <c r="H375" t="s">
        <v>25</v>
      </c>
      <c r="I375" t="s">
        <v>26</v>
      </c>
      <c r="J375" t="s">
        <v>42</v>
      </c>
      <c r="K375" t="s">
        <v>49</v>
      </c>
      <c r="L375" t="s">
        <v>261</v>
      </c>
      <c r="M375">
        <v>87.5</v>
      </c>
      <c r="N375">
        <v>37045</v>
      </c>
      <c r="O375">
        <f>YEAR(Table1[[#This Row],[Date]])</f>
        <v>2026</v>
      </c>
      <c r="P375" t="str">
        <f>TEXT(Table1[[#This Row],[Date]],"MMM")</f>
        <v>Jan</v>
      </c>
      <c r="Q375">
        <f>Table1[[#This Row],[Revenue]]-Table1[[#This Row],[Expenses]]</f>
        <v>35290</v>
      </c>
    </row>
    <row r="376" spans="1:17" x14ac:dyDescent="0.3">
      <c r="A376" s="2">
        <v>46032</v>
      </c>
      <c r="B376" t="s">
        <v>17</v>
      </c>
      <c r="C376" t="s">
        <v>48</v>
      </c>
      <c r="D376">
        <v>198909</v>
      </c>
      <c r="E376">
        <v>157313</v>
      </c>
      <c r="F376">
        <v>375</v>
      </c>
      <c r="G376">
        <v>193191</v>
      </c>
      <c r="H376" t="s">
        <v>54</v>
      </c>
      <c r="I376" t="s">
        <v>20</v>
      </c>
      <c r="J376" t="s">
        <v>21</v>
      </c>
      <c r="K376" t="s">
        <v>35</v>
      </c>
      <c r="L376" t="s">
        <v>260</v>
      </c>
      <c r="M376">
        <v>91.3</v>
      </c>
      <c r="N376">
        <v>43862</v>
      </c>
      <c r="O376">
        <f>YEAR(Table1[[#This Row],[Date]])</f>
        <v>2026</v>
      </c>
      <c r="P376" t="str">
        <f>TEXT(Table1[[#This Row],[Date]],"MMM")</f>
        <v>Jan</v>
      </c>
      <c r="Q376">
        <f>Table1[[#This Row],[Revenue]]-Table1[[#This Row],[Expenses]]</f>
        <v>41596</v>
      </c>
    </row>
    <row r="377" spans="1:17" x14ac:dyDescent="0.3">
      <c r="A377" s="2">
        <v>46033</v>
      </c>
      <c r="B377" t="s">
        <v>32</v>
      </c>
      <c r="C377" t="s">
        <v>39</v>
      </c>
      <c r="D377">
        <v>208883</v>
      </c>
      <c r="E377">
        <v>105496</v>
      </c>
      <c r="F377">
        <v>612</v>
      </c>
      <c r="G377">
        <v>210380</v>
      </c>
      <c r="H377" t="s">
        <v>54</v>
      </c>
      <c r="I377" t="s">
        <v>20</v>
      </c>
      <c r="J377" t="s">
        <v>29</v>
      </c>
      <c r="K377" t="s">
        <v>43</v>
      </c>
      <c r="L377" t="s">
        <v>191</v>
      </c>
      <c r="M377">
        <v>77.2</v>
      </c>
      <c r="N377">
        <v>93674</v>
      </c>
      <c r="O377">
        <f>YEAR(Table1[[#This Row],[Date]])</f>
        <v>2026</v>
      </c>
      <c r="P377" t="str">
        <f>TEXT(Table1[[#This Row],[Date]],"MMM")</f>
        <v>Jan</v>
      </c>
      <c r="Q377">
        <f>Table1[[#This Row],[Revenue]]-Table1[[#This Row],[Expenses]]</f>
        <v>103387</v>
      </c>
    </row>
    <row r="378" spans="1:17" x14ac:dyDescent="0.3">
      <c r="A378" s="2">
        <v>46034</v>
      </c>
      <c r="B378" t="s">
        <v>32</v>
      </c>
      <c r="C378" t="s">
        <v>39</v>
      </c>
      <c r="D378">
        <v>262058</v>
      </c>
      <c r="E378">
        <v>188280</v>
      </c>
      <c r="F378">
        <v>227</v>
      </c>
      <c r="G378">
        <v>264160</v>
      </c>
      <c r="H378" t="s">
        <v>19</v>
      </c>
      <c r="I378" t="s">
        <v>20</v>
      </c>
      <c r="J378" t="s">
        <v>42</v>
      </c>
      <c r="K378" t="s">
        <v>49</v>
      </c>
      <c r="L378" t="s">
        <v>262</v>
      </c>
      <c r="M378">
        <v>78.900000000000006</v>
      </c>
      <c r="N378">
        <v>71321</v>
      </c>
      <c r="O378">
        <f>YEAR(Table1[[#This Row],[Date]])</f>
        <v>2026</v>
      </c>
      <c r="P378" t="str">
        <f>TEXT(Table1[[#This Row],[Date]],"MMM")</f>
        <v>Jan</v>
      </c>
      <c r="Q378">
        <f>Table1[[#This Row],[Revenue]]-Table1[[#This Row],[Expenses]]</f>
        <v>73778</v>
      </c>
    </row>
    <row r="379" spans="1:17" x14ac:dyDescent="0.3">
      <c r="A379" s="2">
        <v>46035</v>
      </c>
      <c r="B379" t="s">
        <v>32</v>
      </c>
      <c r="C379" t="s">
        <v>24</v>
      </c>
      <c r="D379">
        <v>141074</v>
      </c>
      <c r="E379">
        <v>75342</v>
      </c>
      <c r="F379">
        <v>684</v>
      </c>
      <c r="G379">
        <v>152042</v>
      </c>
      <c r="H379" t="s">
        <v>19</v>
      </c>
      <c r="I379" t="s">
        <v>37</v>
      </c>
      <c r="J379" t="s">
        <v>21</v>
      </c>
      <c r="K379" t="s">
        <v>35</v>
      </c>
      <c r="L379" t="s">
        <v>263</v>
      </c>
      <c r="M379">
        <v>87.8</v>
      </c>
      <c r="N379">
        <v>65807</v>
      </c>
      <c r="O379">
        <f>YEAR(Table1[[#This Row],[Date]])</f>
        <v>2026</v>
      </c>
      <c r="P379" t="str">
        <f>TEXT(Table1[[#This Row],[Date]],"MMM")</f>
        <v>Jan</v>
      </c>
      <c r="Q379">
        <f>Table1[[#This Row],[Revenue]]-Table1[[#This Row],[Expenses]]</f>
        <v>65732</v>
      </c>
    </row>
    <row r="380" spans="1:17" x14ac:dyDescent="0.3">
      <c r="A380" s="2">
        <v>46036</v>
      </c>
      <c r="B380" t="s">
        <v>28</v>
      </c>
      <c r="C380" t="s">
        <v>41</v>
      </c>
      <c r="D380">
        <v>75050</v>
      </c>
      <c r="E380">
        <v>52163</v>
      </c>
      <c r="F380">
        <v>353</v>
      </c>
      <c r="G380">
        <v>70960</v>
      </c>
      <c r="H380" t="s">
        <v>25</v>
      </c>
      <c r="I380" t="s">
        <v>26</v>
      </c>
      <c r="J380" t="s">
        <v>29</v>
      </c>
      <c r="K380" t="s">
        <v>49</v>
      </c>
      <c r="L380" t="s">
        <v>198</v>
      </c>
      <c r="M380">
        <v>86.4</v>
      </c>
      <c r="N380">
        <v>23932</v>
      </c>
      <c r="O380">
        <f>YEAR(Table1[[#This Row],[Date]])</f>
        <v>2026</v>
      </c>
      <c r="P380" t="str">
        <f>TEXT(Table1[[#This Row],[Date]],"MMM")</f>
        <v>Jan</v>
      </c>
      <c r="Q380">
        <f>Table1[[#This Row],[Revenue]]-Table1[[#This Row],[Expenses]]</f>
        <v>22887</v>
      </c>
    </row>
    <row r="381" spans="1:17" x14ac:dyDescent="0.3">
      <c r="A381" s="2">
        <v>46037</v>
      </c>
      <c r="B381" t="s">
        <v>17</v>
      </c>
      <c r="C381" t="s">
        <v>48</v>
      </c>
      <c r="D381">
        <v>169534</v>
      </c>
      <c r="E381">
        <v>59166</v>
      </c>
      <c r="F381">
        <v>269</v>
      </c>
      <c r="G381">
        <v>165287</v>
      </c>
      <c r="H381" t="s">
        <v>54</v>
      </c>
      <c r="I381" t="s">
        <v>26</v>
      </c>
      <c r="J381" t="s">
        <v>3</v>
      </c>
      <c r="K381" t="s">
        <v>35</v>
      </c>
      <c r="L381" t="s">
        <v>89</v>
      </c>
      <c r="M381">
        <v>86.2</v>
      </c>
      <c r="N381">
        <v>110537</v>
      </c>
      <c r="O381">
        <f>YEAR(Table1[[#This Row],[Date]])</f>
        <v>2026</v>
      </c>
      <c r="P381" t="str">
        <f>TEXT(Table1[[#This Row],[Date]],"MMM")</f>
        <v>Jan</v>
      </c>
      <c r="Q381">
        <f>Table1[[#This Row],[Revenue]]-Table1[[#This Row],[Expenses]]</f>
        <v>110368</v>
      </c>
    </row>
    <row r="382" spans="1:17" x14ac:dyDescent="0.3">
      <c r="A382" s="2">
        <v>46038</v>
      </c>
      <c r="B382" t="s">
        <v>28</v>
      </c>
      <c r="C382" t="s">
        <v>48</v>
      </c>
      <c r="D382">
        <v>235005</v>
      </c>
      <c r="E382">
        <v>40575</v>
      </c>
      <c r="F382">
        <v>997</v>
      </c>
      <c r="G382">
        <v>230057</v>
      </c>
      <c r="H382" t="s">
        <v>19</v>
      </c>
      <c r="I382" t="s">
        <v>20</v>
      </c>
      <c r="J382" t="s">
        <v>29</v>
      </c>
      <c r="K382" t="s">
        <v>46</v>
      </c>
      <c r="L382" t="s">
        <v>149</v>
      </c>
      <c r="M382">
        <v>91.8</v>
      </c>
      <c r="N382">
        <v>180686</v>
      </c>
      <c r="O382">
        <f>YEAR(Table1[[#This Row],[Date]])</f>
        <v>2026</v>
      </c>
      <c r="P382" t="str">
        <f>TEXT(Table1[[#This Row],[Date]],"MMM")</f>
        <v>Jan</v>
      </c>
      <c r="Q382">
        <f>Table1[[#This Row],[Revenue]]-Table1[[#This Row],[Expenses]]</f>
        <v>194430</v>
      </c>
    </row>
    <row r="383" spans="1:17" x14ac:dyDescent="0.3">
      <c r="A383" s="2">
        <v>46039</v>
      </c>
      <c r="B383" t="s">
        <v>45</v>
      </c>
      <c r="C383" t="s">
        <v>24</v>
      </c>
      <c r="D383">
        <v>237179</v>
      </c>
      <c r="E383">
        <v>97451</v>
      </c>
      <c r="F383">
        <v>774</v>
      </c>
      <c r="G383">
        <v>247733</v>
      </c>
      <c r="H383" t="s">
        <v>34</v>
      </c>
      <c r="I383" t="s">
        <v>20</v>
      </c>
      <c r="J383" t="s">
        <v>3</v>
      </c>
      <c r="K383" t="s">
        <v>22</v>
      </c>
      <c r="L383" t="s">
        <v>158</v>
      </c>
      <c r="M383">
        <v>76.2</v>
      </c>
      <c r="N383">
        <v>146956</v>
      </c>
      <c r="O383">
        <f>YEAR(Table1[[#This Row],[Date]])</f>
        <v>2026</v>
      </c>
      <c r="P383" t="str">
        <f>TEXT(Table1[[#This Row],[Date]],"MMM")</f>
        <v>Jan</v>
      </c>
      <c r="Q383">
        <f>Table1[[#This Row],[Revenue]]-Table1[[#This Row],[Expenses]]</f>
        <v>139728</v>
      </c>
    </row>
    <row r="384" spans="1:17" x14ac:dyDescent="0.3">
      <c r="A384" s="2">
        <v>46040</v>
      </c>
      <c r="B384" t="s">
        <v>17</v>
      </c>
      <c r="C384" t="s">
        <v>33</v>
      </c>
      <c r="D384">
        <v>121009</v>
      </c>
      <c r="E384">
        <v>82132</v>
      </c>
      <c r="F384">
        <v>1297</v>
      </c>
      <c r="G384">
        <v>116448</v>
      </c>
      <c r="H384" t="s">
        <v>34</v>
      </c>
      <c r="I384" t="s">
        <v>37</v>
      </c>
      <c r="J384" t="s">
        <v>42</v>
      </c>
      <c r="K384" t="s">
        <v>46</v>
      </c>
      <c r="L384" t="s">
        <v>47</v>
      </c>
      <c r="M384">
        <v>78.2</v>
      </c>
      <c r="N384">
        <v>40743</v>
      </c>
      <c r="O384">
        <f>YEAR(Table1[[#This Row],[Date]])</f>
        <v>2026</v>
      </c>
      <c r="P384" t="str">
        <f>TEXT(Table1[[#This Row],[Date]],"MMM")</f>
        <v>Jan</v>
      </c>
      <c r="Q384">
        <f>Table1[[#This Row],[Revenue]]-Table1[[#This Row],[Expenses]]</f>
        <v>38877</v>
      </c>
    </row>
    <row r="385" spans="1:17" x14ac:dyDescent="0.3">
      <c r="A385" s="2">
        <v>46041</v>
      </c>
      <c r="B385" t="s">
        <v>17</v>
      </c>
      <c r="C385" t="s">
        <v>41</v>
      </c>
      <c r="D385">
        <v>61346</v>
      </c>
      <c r="E385">
        <v>33588</v>
      </c>
      <c r="F385">
        <v>210</v>
      </c>
      <c r="G385">
        <v>62015</v>
      </c>
      <c r="H385" t="s">
        <v>34</v>
      </c>
      <c r="I385" t="s">
        <v>37</v>
      </c>
      <c r="J385" t="s">
        <v>3</v>
      </c>
      <c r="K385" t="s">
        <v>49</v>
      </c>
      <c r="L385" t="s">
        <v>98</v>
      </c>
      <c r="M385">
        <v>91.2</v>
      </c>
      <c r="N385">
        <v>29580</v>
      </c>
      <c r="O385">
        <f>YEAR(Table1[[#This Row],[Date]])</f>
        <v>2026</v>
      </c>
      <c r="P385" t="str">
        <f>TEXT(Table1[[#This Row],[Date]],"MMM")</f>
        <v>Jan</v>
      </c>
      <c r="Q385">
        <f>Table1[[#This Row],[Revenue]]-Table1[[#This Row],[Expenses]]</f>
        <v>27758</v>
      </c>
    </row>
    <row r="386" spans="1:17" x14ac:dyDescent="0.3">
      <c r="A386" s="2">
        <v>46042</v>
      </c>
      <c r="B386" t="s">
        <v>45</v>
      </c>
      <c r="C386" t="s">
        <v>33</v>
      </c>
      <c r="D386">
        <v>105189</v>
      </c>
      <c r="E386">
        <v>75878</v>
      </c>
      <c r="F386">
        <v>543</v>
      </c>
      <c r="G386">
        <v>104787</v>
      </c>
      <c r="H386" t="s">
        <v>25</v>
      </c>
      <c r="I386" t="s">
        <v>37</v>
      </c>
      <c r="J386" t="s">
        <v>29</v>
      </c>
      <c r="K386" t="s">
        <v>35</v>
      </c>
      <c r="L386" t="s">
        <v>130</v>
      </c>
      <c r="M386">
        <v>98.2</v>
      </c>
      <c r="N386">
        <v>28257</v>
      </c>
      <c r="O386">
        <f>YEAR(Table1[[#This Row],[Date]])</f>
        <v>2026</v>
      </c>
      <c r="P386" t="str">
        <f>TEXT(Table1[[#This Row],[Date]],"MMM")</f>
        <v>Jan</v>
      </c>
      <c r="Q386">
        <f>Table1[[#This Row],[Revenue]]-Table1[[#This Row],[Expenses]]</f>
        <v>29311</v>
      </c>
    </row>
    <row r="387" spans="1:17" x14ac:dyDescent="0.3">
      <c r="A387" s="2">
        <v>46043</v>
      </c>
      <c r="B387" t="s">
        <v>17</v>
      </c>
      <c r="C387" t="s">
        <v>33</v>
      </c>
      <c r="D387">
        <v>267811</v>
      </c>
      <c r="E387">
        <v>95297</v>
      </c>
      <c r="F387">
        <v>1135</v>
      </c>
      <c r="G387">
        <v>285684</v>
      </c>
      <c r="H387" t="s">
        <v>34</v>
      </c>
      <c r="I387" t="s">
        <v>37</v>
      </c>
      <c r="J387" t="s">
        <v>51</v>
      </c>
      <c r="K387" t="s">
        <v>43</v>
      </c>
      <c r="L387" t="s">
        <v>264</v>
      </c>
      <c r="M387">
        <v>86.1</v>
      </c>
      <c r="N387">
        <v>161281</v>
      </c>
      <c r="O387">
        <f>YEAR(Table1[[#This Row],[Date]])</f>
        <v>2026</v>
      </c>
      <c r="P387" t="str">
        <f>TEXT(Table1[[#This Row],[Date]],"MMM")</f>
        <v>Jan</v>
      </c>
      <c r="Q387">
        <f>Table1[[#This Row],[Revenue]]-Table1[[#This Row],[Expenses]]</f>
        <v>172514</v>
      </c>
    </row>
    <row r="388" spans="1:17" x14ac:dyDescent="0.3">
      <c r="A388" s="2">
        <v>46044</v>
      </c>
      <c r="B388" t="s">
        <v>32</v>
      </c>
      <c r="C388" t="s">
        <v>41</v>
      </c>
      <c r="D388">
        <v>82508</v>
      </c>
      <c r="E388">
        <v>45374</v>
      </c>
      <c r="F388">
        <v>635</v>
      </c>
      <c r="G388">
        <v>76262</v>
      </c>
      <c r="H388" t="s">
        <v>54</v>
      </c>
      <c r="I388" t="s">
        <v>37</v>
      </c>
      <c r="J388" t="s">
        <v>51</v>
      </c>
      <c r="K388" t="s">
        <v>46</v>
      </c>
      <c r="L388" t="s">
        <v>96</v>
      </c>
      <c r="M388">
        <v>83</v>
      </c>
      <c r="N388">
        <v>36217</v>
      </c>
      <c r="O388">
        <f>YEAR(Table1[[#This Row],[Date]])</f>
        <v>2026</v>
      </c>
      <c r="P388" t="str">
        <f>TEXT(Table1[[#This Row],[Date]],"MMM")</f>
        <v>Jan</v>
      </c>
      <c r="Q388">
        <f>Table1[[#This Row],[Revenue]]-Table1[[#This Row],[Expenses]]</f>
        <v>37134</v>
      </c>
    </row>
    <row r="389" spans="1:17" x14ac:dyDescent="0.3">
      <c r="A389" s="2">
        <v>46045</v>
      </c>
      <c r="B389" t="s">
        <v>45</v>
      </c>
      <c r="C389" t="s">
        <v>18</v>
      </c>
      <c r="D389">
        <v>90655</v>
      </c>
      <c r="E389">
        <v>47387</v>
      </c>
      <c r="F389">
        <v>1263</v>
      </c>
      <c r="G389">
        <v>89457</v>
      </c>
      <c r="H389" t="s">
        <v>54</v>
      </c>
      <c r="I389" t="s">
        <v>20</v>
      </c>
      <c r="J389" t="s">
        <v>21</v>
      </c>
      <c r="K389" t="s">
        <v>35</v>
      </c>
      <c r="L389" t="s">
        <v>113</v>
      </c>
      <c r="M389">
        <v>90.5</v>
      </c>
      <c r="N389">
        <v>40418</v>
      </c>
      <c r="O389">
        <f>YEAR(Table1[[#This Row],[Date]])</f>
        <v>2026</v>
      </c>
      <c r="P389" t="str">
        <f>TEXT(Table1[[#This Row],[Date]],"MMM")</f>
        <v>Jan</v>
      </c>
      <c r="Q389">
        <f>Table1[[#This Row],[Revenue]]-Table1[[#This Row],[Expenses]]</f>
        <v>43268</v>
      </c>
    </row>
    <row r="390" spans="1:17" x14ac:dyDescent="0.3">
      <c r="A390" s="2">
        <v>46046</v>
      </c>
      <c r="B390" t="s">
        <v>32</v>
      </c>
      <c r="C390" t="s">
        <v>24</v>
      </c>
      <c r="D390">
        <v>255192</v>
      </c>
      <c r="E390">
        <v>105040</v>
      </c>
      <c r="F390">
        <v>958</v>
      </c>
      <c r="G390">
        <v>276580</v>
      </c>
      <c r="H390" t="s">
        <v>25</v>
      </c>
      <c r="I390" t="s">
        <v>37</v>
      </c>
      <c r="J390" t="s">
        <v>3</v>
      </c>
      <c r="K390" t="s">
        <v>71</v>
      </c>
      <c r="L390" t="s">
        <v>80</v>
      </c>
      <c r="M390">
        <v>76.3</v>
      </c>
      <c r="N390">
        <v>137059</v>
      </c>
      <c r="O390">
        <f>YEAR(Table1[[#This Row],[Date]])</f>
        <v>2026</v>
      </c>
      <c r="P390" t="str">
        <f>TEXT(Table1[[#This Row],[Date]],"MMM")</f>
        <v>Jan</v>
      </c>
      <c r="Q390">
        <f>Table1[[#This Row],[Revenue]]-Table1[[#This Row],[Expenses]]</f>
        <v>150152</v>
      </c>
    </row>
    <row r="391" spans="1:17" x14ac:dyDescent="0.3">
      <c r="A391" s="2">
        <v>46047</v>
      </c>
      <c r="B391" t="s">
        <v>45</v>
      </c>
      <c r="C391" t="s">
        <v>24</v>
      </c>
      <c r="D391">
        <v>154011</v>
      </c>
      <c r="E391">
        <v>118492</v>
      </c>
      <c r="F391">
        <v>400</v>
      </c>
      <c r="G391">
        <v>150275</v>
      </c>
      <c r="H391" t="s">
        <v>19</v>
      </c>
      <c r="I391" t="s">
        <v>37</v>
      </c>
      <c r="J391" t="s">
        <v>51</v>
      </c>
      <c r="K391" t="s">
        <v>71</v>
      </c>
      <c r="L391" t="s">
        <v>145</v>
      </c>
      <c r="M391">
        <v>84.7</v>
      </c>
      <c r="N391">
        <v>32138</v>
      </c>
      <c r="O391">
        <f>YEAR(Table1[[#This Row],[Date]])</f>
        <v>2026</v>
      </c>
      <c r="P391" t="str">
        <f>TEXT(Table1[[#This Row],[Date]],"MMM")</f>
        <v>Jan</v>
      </c>
      <c r="Q391">
        <f>Table1[[#This Row],[Revenue]]-Table1[[#This Row],[Expenses]]</f>
        <v>35519</v>
      </c>
    </row>
    <row r="392" spans="1:17" x14ac:dyDescent="0.3">
      <c r="A392" s="2">
        <v>46048</v>
      </c>
      <c r="B392" t="s">
        <v>28</v>
      </c>
      <c r="C392" t="s">
        <v>24</v>
      </c>
      <c r="D392">
        <v>94367</v>
      </c>
      <c r="E392">
        <v>38394</v>
      </c>
      <c r="F392">
        <v>600</v>
      </c>
      <c r="G392">
        <v>99279</v>
      </c>
      <c r="H392" t="s">
        <v>54</v>
      </c>
      <c r="I392" t="s">
        <v>37</v>
      </c>
      <c r="J392" t="s">
        <v>21</v>
      </c>
      <c r="K392" t="s">
        <v>24</v>
      </c>
      <c r="L392" t="s">
        <v>136</v>
      </c>
      <c r="M392">
        <v>91.9</v>
      </c>
      <c r="N392">
        <v>61528</v>
      </c>
      <c r="O392">
        <f>YEAR(Table1[[#This Row],[Date]])</f>
        <v>2026</v>
      </c>
      <c r="P392" t="str">
        <f>TEXT(Table1[[#This Row],[Date]],"MMM")</f>
        <v>Jan</v>
      </c>
      <c r="Q392">
        <f>Table1[[#This Row],[Revenue]]-Table1[[#This Row],[Expenses]]</f>
        <v>55973</v>
      </c>
    </row>
    <row r="393" spans="1:17" x14ac:dyDescent="0.3">
      <c r="A393" s="2">
        <v>46049</v>
      </c>
      <c r="B393" t="s">
        <v>17</v>
      </c>
      <c r="C393" t="s">
        <v>18</v>
      </c>
      <c r="D393">
        <v>214335</v>
      </c>
      <c r="E393">
        <v>98018</v>
      </c>
      <c r="F393">
        <v>552</v>
      </c>
      <c r="G393">
        <v>231821</v>
      </c>
      <c r="H393" t="s">
        <v>34</v>
      </c>
      <c r="I393" t="s">
        <v>26</v>
      </c>
      <c r="J393" t="s">
        <v>21</v>
      </c>
      <c r="K393" t="s">
        <v>52</v>
      </c>
      <c r="L393" t="s">
        <v>190</v>
      </c>
      <c r="M393">
        <v>79.7</v>
      </c>
      <c r="N393">
        <v>127146</v>
      </c>
      <c r="O393">
        <f>YEAR(Table1[[#This Row],[Date]])</f>
        <v>2026</v>
      </c>
      <c r="P393" t="str">
        <f>TEXT(Table1[[#This Row],[Date]],"MMM")</f>
        <v>Jan</v>
      </c>
      <c r="Q393">
        <f>Table1[[#This Row],[Revenue]]-Table1[[#This Row],[Expenses]]</f>
        <v>116317</v>
      </c>
    </row>
    <row r="394" spans="1:17" x14ac:dyDescent="0.3">
      <c r="A394" s="2">
        <v>46050</v>
      </c>
      <c r="B394" t="s">
        <v>17</v>
      </c>
      <c r="C394" t="s">
        <v>48</v>
      </c>
      <c r="D394">
        <v>243565</v>
      </c>
      <c r="E394">
        <v>59625</v>
      </c>
      <c r="F394">
        <v>887</v>
      </c>
      <c r="G394">
        <v>239139</v>
      </c>
      <c r="H394" t="s">
        <v>34</v>
      </c>
      <c r="I394" t="s">
        <v>26</v>
      </c>
      <c r="J394" t="s">
        <v>29</v>
      </c>
      <c r="K394" t="s">
        <v>24</v>
      </c>
      <c r="L394" t="s">
        <v>96</v>
      </c>
      <c r="M394">
        <v>95.7</v>
      </c>
      <c r="N394">
        <v>174448</v>
      </c>
      <c r="O394">
        <f>YEAR(Table1[[#This Row],[Date]])</f>
        <v>2026</v>
      </c>
      <c r="P394" t="str">
        <f>TEXT(Table1[[#This Row],[Date]],"MMM")</f>
        <v>Jan</v>
      </c>
      <c r="Q394">
        <f>Table1[[#This Row],[Revenue]]-Table1[[#This Row],[Expenses]]</f>
        <v>183940</v>
      </c>
    </row>
    <row r="395" spans="1:17" x14ac:dyDescent="0.3">
      <c r="A395" s="2">
        <v>46051</v>
      </c>
      <c r="B395" t="s">
        <v>28</v>
      </c>
      <c r="C395" t="s">
        <v>39</v>
      </c>
      <c r="D395">
        <v>108700</v>
      </c>
      <c r="E395">
        <v>30344</v>
      </c>
      <c r="F395">
        <v>793</v>
      </c>
      <c r="G395">
        <v>117762</v>
      </c>
      <c r="H395" t="s">
        <v>19</v>
      </c>
      <c r="I395" t="s">
        <v>26</v>
      </c>
      <c r="J395" t="s">
        <v>21</v>
      </c>
      <c r="K395" t="s">
        <v>52</v>
      </c>
      <c r="L395" t="s">
        <v>265</v>
      </c>
      <c r="M395">
        <v>89</v>
      </c>
      <c r="N395">
        <v>75860</v>
      </c>
      <c r="O395">
        <f>YEAR(Table1[[#This Row],[Date]])</f>
        <v>2026</v>
      </c>
      <c r="P395" t="str">
        <f>TEXT(Table1[[#This Row],[Date]],"MMM")</f>
        <v>Jan</v>
      </c>
      <c r="Q395">
        <f>Table1[[#This Row],[Revenue]]-Table1[[#This Row],[Expenses]]</f>
        <v>78356</v>
      </c>
    </row>
    <row r="396" spans="1:17" x14ac:dyDescent="0.3">
      <c r="A396" s="2">
        <v>46052</v>
      </c>
      <c r="B396" t="s">
        <v>28</v>
      </c>
      <c r="C396" t="s">
        <v>39</v>
      </c>
      <c r="D396">
        <v>268234</v>
      </c>
      <c r="E396">
        <v>162139</v>
      </c>
      <c r="F396">
        <v>652</v>
      </c>
      <c r="G396">
        <v>294239</v>
      </c>
      <c r="H396" t="s">
        <v>54</v>
      </c>
      <c r="I396" t="s">
        <v>37</v>
      </c>
      <c r="J396" t="s">
        <v>42</v>
      </c>
      <c r="K396" t="s">
        <v>30</v>
      </c>
      <c r="L396" t="s">
        <v>266</v>
      </c>
      <c r="M396">
        <v>84.7</v>
      </c>
      <c r="N396">
        <v>97635</v>
      </c>
      <c r="O396">
        <f>YEAR(Table1[[#This Row],[Date]])</f>
        <v>2026</v>
      </c>
      <c r="P396" t="str">
        <f>TEXT(Table1[[#This Row],[Date]],"MMM")</f>
        <v>Jan</v>
      </c>
      <c r="Q396">
        <f>Table1[[#This Row],[Revenue]]-Table1[[#This Row],[Expenses]]</f>
        <v>106095</v>
      </c>
    </row>
    <row r="397" spans="1:17" x14ac:dyDescent="0.3">
      <c r="A397" s="2">
        <v>46053</v>
      </c>
      <c r="B397" t="s">
        <v>32</v>
      </c>
      <c r="C397" t="s">
        <v>48</v>
      </c>
      <c r="D397">
        <v>276317</v>
      </c>
      <c r="E397">
        <v>71063</v>
      </c>
      <c r="F397">
        <v>272</v>
      </c>
      <c r="G397">
        <v>251150</v>
      </c>
      <c r="H397" t="s">
        <v>19</v>
      </c>
      <c r="I397" t="s">
        <v>37</v>
      </c>
      <c r="J397" t="s">
        <v>21</v>
      </c>
      <c r="K397" t="s">
        <v>35</v>
      </c>
      <c r="L397" t="s">
        <v>267</v>
      </c>
      <c r="M397">
        <v>85.3</v>
      </c>
      <c r="N397">
        <v>185612</v>
      </c>
      <c r="O397">
        <f>YEAR(Table1[[#This Row],[Date]])</f>
        <v>2026</v>
      </c>
      <c r="P397" t="str">
        <f>TEXT(Table1[[#This Row],[Date]],"MMM")</f>
        <v>Jan</v>
      </c>
      <c r="Q397">
        <f>Table1[[#This Row],[Revenue]]-Table1[[#This Row],[Expenses]]</f>
        <v>205254</v>
      </c>
    </row>
    <row r="398" spans="1:17" x14ac:dyDescent="0.3">
      <c r="A398" s="2">
        <v>46054</v>
      </c>
      <c r="B398" t="s">
        <v>28</v>
      </c>
      <c r="C398" t="s">
        <v>48</v>
      </c>
      <c r="D398">
        <v>233576</v>
      </c>
      <c r="E398">
        <v>78237</v>
      </c>
      <c r="F398">
        <v>1149</v>
      </c>
      <c r="G398">
        <v>241472</v>
      </c>
      <c r="H398" t="s">
        <v>34</v>
      </c>
      <c r="I398" t="s">
        <v>26</v>
      </c>
      <c r="J398" t="s">
        <v>51</v>
      </c>
      <c r="K398" t="s">
        <v>35</v>
      </c>
      <c r="L398" t="s">
        <v>250</v>
      </c>
      <c r="M398">
        <v>77.099999999999994</v>
      </c>
      <c r="N398">
        <v>164073</v>
      </c>
      <c r="O398">
        <f>YEAR(Table1[[#This Row],[Date]])</f>
        <v>2026</v>
      </c>
      <c r="P398" t="str">
        <f>TEXT(Table1[[#This Row],[Date]],"MMM")</f>
        <v>Feb</v>
      </c>
      <c r="Q398">
        <f>Table1[[#This Row],[Revenue]]-Table1[[#This Row],[Expenses]]</f>
        <v>155339</v>
      </c>
    </row>
    <row r="399" spans="1:17" x14ac:dyDescent="0.3">
      <c r="A399" s="2">
        <v>46055</v>
      </c>
      <c r="B399" t="s">
        <v>32</v>
      </c>
      <c r="C399" t="s">
        <v>24</v>
      </c>
      <c r="D399">
        <v>133457</v>
      </c>
      <c r="E399">
        <v>102635</v>
      </c>
      <c r="F399">
        <v>921</v>
      </c>
      <c r="G399">
        <v>138299</v>
      </c>
      <c r="H399" t="s">
        <v>58</v>
      </c>
      <c r="I399" t="s">
        <v>20</v>
      </c>
      <c r="J399" t="s">
        <v>3</v>
      </c>
      <c r="K399" t="s">
        <v>49</v>
      </c>
      <c r="L399" t="s">
        <v>224</v>
      </c>
      <c r="M399">
        <v>84.7</v>
      </c>
      <c r="N399">
        <v>28814</v>
      </c>
      <c r="O399">
        <f>YEAR(Table1[[#This Row],[Date]])</f>
        <v>2026</v>
      </c>
      <c r="P399" t="str">
        <f>TEXT(Table1[[#This Row],[Date]],"MMM")</f>
        <v>Feb</v>
      </c>
      <c r="Q399">
        <f>Table1[[#This Row],[Revenue]]-Table1[[#This Row],[Expenses]]</f>
        <v>30822</v>
      </c>
    </row>
    <row r="400" spans="1:17" x14ac:dyDescent="0.3">
      <c r="A400" s="2">
        <v>46056</v>
      </c>
      <c r="B400" t="s">
        <v>28</v>
      </c>
      <c r="C400" t="s">
        <v>48</v>
      </c>
      <c r="D400">
        <v>212066</v>
      </c>
      <c r="E400">
        <v>85669</v>
      </c>
      <c r="F400">
        <v>554</v>
      </c>
      <c r="G400">
        <v>203024</v>
      </c>
      <c r="H400" t="s">
        <v>58</v>
      </c>
      <c r="I400" t="s">
        <v>37</v>
      </c>
      <c r="J400" t="s">
        <v>42</v>
      </c>
      <c r="K400" t="s">
        <v>22</v>
      </c>
      <c r="L400" t="s">
        <v>93</v>
      </c>
      <c r="M400">
        <v>77.2</v>
      </c>
      <c r="N400">
        <v>131746</v>
      </c>
      <c r="O400">
        <f>YEAR(Table1[[#This Row],[Date]])</f>
        <v>2026</v>
      </c>
      <c r="P400" t="str">
        <f>TEXT(Table1[[#This Row],[Date]],"MMM")</f>
        <v>Feb</v>
      </c>
      <c r="Q400">
        <f>Table1[[#This Row],[Revenue]]-Table1[[#This Row],[Expenses]]</f>
        <v>126397</v>
      </c>
    </row>
    <row r="401" spans="1:17" x14ac:dyDescent="0.3">
      <c r="A401" s="2">
        <v>46057</v>
      </c>
      <c r="B401" t="s">
        <v>32</v>
      </c>
      <c r="C401" t="s">
        <v>48</v>
      </c>
      <c r="D401">
        <v>112400</v>
      </c>
      <c r="E401">
        <v>70562</v>
      </c>
      <c r="F401">
        <v>827</v>
      </c>
      <c r="G401">
        <v>109914</v>
      </c>
      <c r="H401" t="s">
        <v>58</v>
      </c>
      <c r="I401" t="s">
        <v>20</v>
      </c>
      <c r="J401" t="s">
        <v>29</v>
      </c>
      <c r="K401" t="s">
        <v>22</v>
      </c>
      <c r="L401" t="s">
        <v>249</v>
      </c>
      <c r="M401">
        <v>96</v>
      </c>
      <c r="N401">
        <v>42961</v>
      </c>
      <c r="O401">
        <f>YEAR(Table1[[#This Row],[Date]])</f>
        <v>2026</v>
      </c>
      <c r="P401" t="str">
        <f>TEXT(Table1[[#This Row],[Date]],"MMM")</f>
        <v>Feb</v>
      </c>
      <c r="Q401">
        <f>Table1[[#This Row],[Revenue]]-Table1[[#This Row],[Expenses]]</f>
        <v>41838</v>
      </c>
    </row>
    <row r="402" spans="1:17" x14ac:dyDescent="0.3">
      <c r="A402" s="2">
        <v>46058</v>
      </c>
      <c r="B402" t="s">
        <v>45</v>
      </c>
      <c r="C402" t="s">
        <v>18</v>
      </c>
      <c r="D402">
        <v>188910</v>
      </c>
      <c r="E402">
        <v>65052</v>
      </c>
      <c r="F402">
        <v>822</v>
      </c>
      <c r="G402">
        <v>179883</v>
      </c>
      <c r="H402" t="s">
        <v>34</v>
      </c>
      <c r="I402" t="s">
        <v>37</v>
      </c>
      <c r="J402" t="s">
        <v>42</v>
      </c>
      <c r="K402" t="s">
        <v>24</v>
      </c>
      <c r="L402" t="s">
        <v>114</v>
      </c>
      <c r="M402">
        <v>75.599999999999994</v>
      </c>
      <c r="N402">
        <v>121914</v>
      </c>
      <c r="O402">
        <f>YEAR(Table1[[#This Row],[Date]])</f>
        <v>2026</v>
      </c>
      <c r="P402" t="str">
        <f>TEXT(Table1[[#This Row],[Date]],"MMM")</f>
        <v>Feb</v>
      </c>
      <c r="Q402">
        <f>Table1[[#This Row],[Revenue]]-Table1[[#This Row],[Expenses]]</f>
        <v>123858</v>
      </c>
    </row>
    <row r="403" spans="1:17" x14ac:dyDescent="0.3">
      <c r="A403" s="2">
        <v>46059</v>
      </c>
      <c r="B403" t="s">
        <v>17</v>
      </c>
      <c r="C403" t="s">
        <v>48</v>
      </c>
      <c r="D403">
        <v>154700</v>
      </c>
      <c r="E403">
        <v>101025</v>
      </c>
      <c r="F403">
        <v>758</v>
      </c>
      <c r="G403">
        <v>155697</v>
      </c>
      <c r="H403" t="s">
        <v>34</v>
      </c>
      <c r="I403" t="s">
        <v>20</v>
      </c>
      <c r="J403" t="s">
        <v>3</v>
      </c>
      <c r="K403" t="s">
        <v>30</v>
      </c>
      <c r="L403" t="s">
        <v>259</v>
      </c>
      <c r="M403">
        <v>96.9</v>
      </c>
      <c r="N403">
        <v>56887</v>
      </c>
      <c r="O403">
        <f>YEAR(Table1[[#This Row],[Date]])</f>
        <v>2026</v>
      </c>
      <c r="P403" t="str">
        <f>TEXT(Table1[[#This Row],[Date]],"MMM")</f>
        <v>Feb</v>
      </c>
      <c r="Q403">
        <f>Table1[[#This Row],[Revenue]]-Table1[[#This Row],[Expenses]]</f>
        <v>53675</v>
      </c>
    </row>
    <row r="404" spans="1:17" x14ac:dyDescent="0.3">
      <c r="A404" s="2">
        <v>46060</v>
      </c>
      <c r="B404" t="s">
        <v>32</v>
      </c>
      <c r="C404" t="s">
        <v>24</v>
      </c>
      <c r="D404">
        <v>100983</v>
      </c>
      <c r="E404">
        <v>62757</v>
      </c>
      <c r="F404">
        <v>986</v>
      </c>
      <c r="G404">
        <v>95328</v>
      </c>
      <c r="H404" t="s">
        <v>58</v>
      </c>
      <c r="I404" t="s">
        <v>26</v>
      </c>
      <c r="J404" t="s">
        <v>21</v>
      </c>
      <c r="K404" t="s">
        <v>24</v>
      </c>
      <c r="L404" t="s">
        <v>69</v>
      </c>
      <c r="M404">
        <v>91</v>
      </c>
      <c r="N404">
        <v>41087</v>
      </c>
      <c r="O404">
        <f>YEAR(Table1[[#This Row],[Date]])</f>
        <v>2026</v>
      </c>
      <c r="P404" t="str">
        <f>TEXT(Table1[[#This Row],[Date]],"MMM")</f>
        <v>Feb</v>
      </c>
      <c r="Q404">
        <f>Table1[[#This Row],[Revenue]]-Table1[[#This Row],[Expenses]]</f>
        <v>38226</v>
      </c>
    </row>
    <row r="405" spans="1:17" x14ac:dyDescent="0.3">
      <c r="A405" s="2">
        <v>46061</v>
      </c>
      <c r="B405" t="s">
        <v>32</v>
      </c>
      <c r="C405" t="s">
        <v>41</v>
      </c>
      <c r="D405">
        <v>164523</v>
      </c>
      <c r="E405">
        <v>106038</v>
      </c>
      <c r="F405">
        <v>914</v>
      </c>
      <c r="G405">
        <v>156165</v>
      </c>
      <c r="H405" t="s">
        <v>58</v>
      </c>
      <c r="I405" t="s">
        <v>20</v>
      </c>
      <c r="J405" t="s">
        <v>29</v>
      </c>
      <c r="K405" t="s">
        <v>52</v>
      </c>
      <c r="L405" t="s">
        <v>268</v>
      </c>
      <c r="M405">
        <v>76.8</v>
      </c>
      <c r="N405">
        <v>54427</v>
      </c>
      <c r="O405">
        <f>YEAR(Table1[[#This Row],[Date]])</f>
        <v>2026</v>
      </c>
      <c r="P405" t="str">
        <f>TEXT(Table1[[#This Row],[Date]],"MMM")</f>
        <v>Feb</v>
      </c>
      <c r="Q405">
        <f>Table1[[#This Row],[Revenue]]-Table1[[#This Row],[Expenses]]</f>
        <v>58485</v>
      </c>
    </row>
    <row r="406" spans="1:17" x14ac:dyDescent="0.3">
      <c r="A406" s="2">
        <v>46062</v>
      </c>
      <c r="B406" t="s">
        <v>17</v>
      </c>
      <c r="C406" t="s">
        <v>18</v>
      </c>
      <c r="D406">
        <v>295347</v>
      </c>
      <c r="E406">
        <v>134864</v>
      </c>
      <c r="F406">
        <v>784</v>
      </c>
      <c r="G406">
        <v>302076</v>
      </c>
      <c r="H406" t="s">
        <v>34</v>
      </c>
      <c r="I406" t="s">
        <v>26</v>
      </c>
      <c r="J406" t="s">
        <v>3</v>
      </c>
      <c r="K406" t="s">
        <v>24</v>
      </c>
      <c r="L406" t="s">
        <v>38</v>
      </c>
      <c r="M406">
        <v>96.3</v>
      </c>
      <c r="N406">
        <v>170256</v>
      </c>
      <c r="O406">
        <f>YEAR(Table1[[#This Row],[Date]])</f>
        <v>2026</v>
      </c>
      <c r="P406" t="str">
        <f>TEXT(Table1[[#This Row],[Date]],"MMM")</f>
        <v>Feb</v>
      </c>
      <c r="Q406">
        <f>Table1[[#This Row],[Revenue]]-Table1[[#This Row],[Expenses]]</f>
        <v>160483</v>
      </c>
    </row>
    <row r="407" spans="1:17" x14ac:dyDescent="0.3">
      <c r="A407" s="2">
        <v>46063</v>
      </c>
      <c r="B407" t="s">
        <v>32</v>
      </c>
      <c r="C407" t="s">
        <v>48</v>
      </c>
      <c r="D407">
        <v>288453</v>
      </c>
      <c r="E407">
        <v>177485</v>
      </c>
      <c r="F407">
        <v>1116</v>
      </c>
      <c r="G407">
        <v>299291</v>
      </c>
      <c r="H407" t="s">
        <v>58</v>
      </c>
      <c r="I407" t="s">
        <v>37</v>
      </c>
      <c r="J407" t="s">
        <v>21</v>
      </c>
      <c r="K407" t="s">
        <v>71</v>
      </c>
      <c r="L407" t="s">
        <v>235</v>
      </c>
      <c r="M407">
        <v>81.5</v>
      </c>
      <c r="N407">
        <v>106338</v>
      </c>
      <c r="O407">
        <f>YEAR(Table1[[#This Row],[Date]])</f>
        <v>2026</v>
      </c>
      <c r="P407" t="str">
        <f>TEXT(Table1[[#This Row],[Date]],"MMM")</f>
        <v>Feb</v>
      </c>
      <c r="Q407">
        <f>Table1[[#This Row],[Revenue]]-Table1[[#This Row],[Expenses]]</f>
        <v>110968</v>
      </c>
    </row>
    <row r="408" spans="1:17" x14ac:dyDescent="0.3">
      <c r="A408" s="2">
        <v>46064</v>
      </c>
      <c r="B408" t="s">
        <v>32</v>
      </c>
      <c r="C408" t="s">
        <v>24</v>
      </c>
      <c r="D408">
        <v>148459</v>
      </c>
      <c r="E408">
        <v>107387</v>
      </c>
      <c r="F408">
        <v>613</v>
      </c>
      <c r="G408">
        <v>134504</v>
      </c>
      <c r="H408" t="s">
        <v>19</v>
      </c>
      <c r="I408" t="s">
        <v>26</v>
      </c>
      <c r="J408" t="s">
        <v>29</v>
      </c>
      <c r="K408" t="s">
        <v>49</v>
      </c>
      <c r="L408" t="s">
        <v>269</v>
      </c>
      <c r="M408">
        <v>94.1</v>
      </c>
      <c r="N408">
        <v>40302</v>
      </c>
      <c r="O408">
        <f>YEAR(Table1[[#This Row],[Date]])</f>
        <v>2026</v>
      </c>
      <c r="P408" t="str">
        <f>TEXT(Table1[[#This Row],[Date]],"MMM")</f>
        <v>Feb</v>
      </c>
      <c r="Q408">
        <f>Table1[[#This Row],[Revenue]]-Table1[[#This Row],[Expenses]]</f>
        <v>41072</v>
      </c>
    </row>
    <row r="409" spans="1:17" x14ac:dyDescent="0.3">
      <c r="A409" s="2">
        <v>46065</v>
      </c>
      <c r="B409" t="s">
        <v>32</v>
      </c>
      <c r="C409" t="s">
        <v>33</v>
      </c>
      <c r="D409">
        <v>188457</v>
      </c>
      <c r="E409">
        <v>46305</v>
      </c>
      <c r="F409">
        <v>1148</v>
      </c>
      <c r="G409">
        <v>194383</v>
      </c>
      <c r="H409" t="s">
        <v>19</v>
      </c>
      <c r="I409" t="s">
        <v>37</v>
      </c>
      <c r="J409" t="s">
        <v>21</v>
      </c>
      <c r="K409" t="s">
        <v>35</v>
      </c>
      <c r="L409" t="s">
        <v>144</v>
      </c>
      <c r="M409">
        <v>90.3</v>
      </c>
      <c r="N409">
        <v>147605</v>
      </c>
      <c r="O409">
        <f>YEAR(Table1[[#This Row],[Date]])</f>
        <v>2026</v>
      </c>
      <c r="P409" t="str">
        <f>TEXT(Table1[[#This Row],[Date]],"MMM")</f>
        <v>Feb</v>
      </c>
      <c r="Q409">
        <f>Table1[[#This Row],[Revenue]]-Table1[[#This Row],[Expenses]]</f>
        <v>142152</v>
      </c>
    </row>
    <row r="410" spans="1:17" x14ac:dyDescent="0.3">
      <c r="A410" s="2">
        <v>46066</v>
      </c>
      <c r="B410" t="s">
        <v>28</v>
      </c>
      <c r="C410" t="s">
        <v>24</v>
      </c>
      <c r="D410">
        <v>101599</v>
      </c>
      <c r="E410">
        <v>54719</v>
      </c>
      <c r="F410">
        <v>594</v>
      </c>
      <c r="G410">
        <v>101312</v>
      </c>
      <c r="H410" t="s">
        <v>25</v>
      </c>
      <c r="I410" t="s">
        <v>26</v>
      </c>
      <c r="J410" t="s">
        <v>42</v>
      </c>
      <c r="K410" t="s">
        <v>24</v>
      </c>
      <c r="L410" t="s">
        <v>270</v>
      </c>
      <c r="M410">
        <v>77.900000000000006</v>
      </c>
      <c r="N410">
        <v>46012</v>
      </c>
      <c r="O410">
        <f>YEAR(Table1[[#This Row],[Date]])</f>
        <v>2026</v>
      </c>
      <c r="P410" t="str">
        <f>TEXT(Table1[[#This Row],[Date]],"MMM")</f>
        <v>Feb</v>
      </c>
      <c r="Q410">
        <f>Table1[[#This Row],[Revenue]]-Table1[[#This Row],[Expenses]]</f>
        <v>46880</v>
      </c>
    </row>
    <row r="411" spans="1:17" x14ac:dyDescent="0.3">
      <c r="A411" s="2">
        <v>46067</v>
      </c>
      <c r="B411" t="s">
        <v>17</v>
      </c>
      <c r="C411" t="s">
        <v>18</v>
      </c>
      <c r="D411">
        <v>173806</v>
      </c>
      <c r="E411">
        <v>117294</v>
      </c>
      <c r="F411">
        <v>1382</v>
      </c>
      <c r="G411">
        <v>189008</v>
      </c>
      <c r="H411" t="s">
        <v>58</v>
      </c>
      <c r="I411" t="s">
        <v>37</v>
      </c>
      <c r="J411" t="s">
        <v>51</v>
      </c>
      <c r="K411" t="s">
        <v>52</v>
      </c>
      <c r="L411" t="s">
        <v>188</v>
      </c>
      <c r="M411">
        <v>76.599999999999994</v>
      </c>
      <c r="N411">
        <v>60352</v>
      </c>
      <c r="O411">
        <f>YEAR(Table1[[#This Row],[Date]])</f>
        <v>2026</v>
      </c>
      <c r="P411" t="str">
        <f>TEXT(Table1[[#This Row],[Date]],"MMM")</f>
        <v>Feb</v>
      </c>
      <c r="Q411">
        <f>Table1[[#This Row],[Revenue]]-Table1[[#This Row],[Expenses]]</f>
        <v>56512</v>
      </c>
    </row>
    <row r="412" spans="1:17" x14ac:dyDescent="0.3">
      <c r="A412" s="2">
        <v>46068</v>
      </c>
      <c r="B412" t="s">
        <v>28</v>
      </c>
      <c r="C412" t="s">
        <v>18</v>
      </c>
      <c r="D412">
        <v>155040</v>
      </c>
      <c r="E412">
        <v>107396</v>
      </c>
      <c r="F412">
        <v>623</v>
      </c>
      <c r="G412">
        <v>142502</v>
      </c>
      <c r="H412" t="s">
        <v>54</v>
      </c>
      <c r="I412" t="s">
        <v>37</v>
      </c>
      <c r="J412" t="s">
        <v>51</v>
      </c>
      <c r="K412" t="s">
        <v>24</v>
      </c>
      <c r="L412" t="s">
        <v>175</v>
      </c>
      <c r="M412">
        <v>84.5</v>
      </c>
      <c r="N412">
        <v>44195</v>
      </c>
      <c r="O412">
        <f>YEAR(Table1[[#This Row],[Date]])</f>
        <v>2026</v>
      </c>
      <c r="P412" t="str">
        <f>TEXT(Table1[[#This Row],[Date]],"MMM")</f>
        <v>Feb</v>
      </c>
      <c r="Q412">
        <f>Table1[[#This Row],[Revenue]]-Table1[[#This Row],[Expenses]]</f>
        <v>47644</v>
      </c>
    </row>
    <row r="413" spans="1:17" x14ac:dyDescent="0.3">
      <c r="A413" s="2">
        <v>46069</v>
      </c>
      <c r="B413" t="s">
        <v>32</v>
      </c>
      <c r="C413" t="s">
        <v>33</v>
      </c>
      <c r="D413">
        <v>166527</v>
      </c>
      <c r="E413">
        <v>69997</v>
      </c>
      <c r="F413">
        <v>702</v>
      </c>
      <c r="G413">
        <v>160681</v>
      </c>
      <c r="H413" t="s">
        <v>54</v>
      </c>
      <c r="I413" t="s">
        <v>20</v>
      </c>
      <c r="J413" t="s">
        <v>3</v>
      </c>
      <c r="K413" t="s">
        <v>49</v>
      </c>
      <c r="L413" t="s">
        <v>254</v>
      </c>
      <c r="M413">
        <v>88.5</v>
      </c>
      <c r="N413">
        <v>102615</v>
      </c>
      <c r="O413">
        <f>YEAR(Table1[[#This Row],[Date]])</f>
        <v>2026</v>
      </c>
      <c r="P413" t="str">
        <f>TEXT(Table1[[#This Row],[Date]],"MMM")</f>
        <v>Feb</v>
      </c>
      <c r="Q413">
        <f>Table1[[#This Row],[Revenue]]-Table1[[#This Row],[Expenses]]</f>
        <v>96530</v>
      </c>
    </row>
    <row r="414" spans="1:17" x14ac:dyDescent="0.3">
      <c r="A414" s="2">
        <v>46070</v>
      </c>
      <c r="B414" t="s">
        <v>17</v>
      </c>
      <c r="C414" t="s">
        <v>41</v>
      </c>
      <c r="D414">
        <v>225198</v>
      </c>
      <c r="E414">
        <v>59835</v>
      </c>
      <c r="F414">
        <v>739</v>
      </c>
      <c r="G414">
        <v>227702</v>
      </c>
      <c r="H414" t="s">
        <v>19</v>
      </c>
      <c r="I414" t="s">
        <v>37</v>
      </c>
      <c r="J414" t="s">
        <v>42</v>
      </c>
      <c r="K414" t="s">
        <v>52</v>
      </c>
      <c r="L414" t="s">
        <v>271</v>
      </c>
      <c r="M414">
        <v>87.8</v>
      </c>
      <c r="N414">
        <v>165889</v>
      </c>
      <c r="O414">
        <f>YEAR(Table1[[#This Row],[Date]])</f>
        <v>2026</v>
      </c>
      <c r="P414" t="str">
        <f>TEXT(Table1[[#This Row],[Date]],"MMM")</f>
        <v>Feb</v>
      </c>
      <c r="Q414">
        <f>Table1[[#This Row],[Revenue]]-Table1[[#This Row],[Expenses]]</f>
        <v>165363</v>
      </c>
    </row>
    <row r="415" spans="1:17" x14ac:dyDescent="0.3">
      <c r="A415" s="2">
        <v>46071</v>
      </c>
      <c r="B415" t="s">
        <v>45</v>
      </c>
      <c r="C415" t="s">
        <v>33</v>
      </c>
      <c r="D415">
        <v>212714</v>
      </c>
      <c r="E415">
        <v>50078</v>
      </c>
      <c r="F415">
        <v>1240</v>
      </c>
      <c r="G415">
        <v>232351</v>
      </c>
      <c r="H415" t="s">
        <v>34</v>
      </c>
      <c r="I415" t="s">
        <v>20</v>
      </c>
      <c r="J415" t="s">
        <v>21</v>
      </c>
      <c r="K415" t="s">
        <v>49</v>
      </c>
      <c r="L415" t="s">
        <v>272</v>
      </c>
      <c r="M415">
        <v>76.5</v>
      </c>
      <c r="N415">
        <v>167502</v>
      </c>
      <c r="O415">
        <f>YEAR(Table1[[#This Row],[Date]])</f>
        <v>2026</v>
      </c>
      <c r="P415" t="str">
        <f>TEXT(Table1[[#This Row],[Date]],"MMM")</f>
        <v>Feb</v>
      </c>
      <c r="Q415">
        <f>Table1[[#This Row],[Revenue]]-Table1[[#This Row],[Expenses]]</f>
        <v>162636</v>
      </c>
    </row>
    <row r="416" spans="1:17" x14ac:dyDescent="0.3">
      <c r="A416" s="2">
        <v>46072</v>
      </c>
      <c r="B416" t="s">
        <v>45</v>
      </c>
      <c r="C416" t="s">
        <v>41</v>
      </c>
      <c r="D416">
        <v>252451</v>
      </c>
      <c r="E416">
        <v>90216</v>
      </c>
      <c r="F416">
        <v>794</v>
      </c>
      <c r="G416">
        <v>234247</v>
      </c>
      <c r="H416" t="s">
        <v>58</v>
      </c>
      <c r="I416" t="s">
        <v>20</v>
      </c>
      <c r="J416" t="s">
        <v>21</v>
      </c>
      <c r="K416" t="s">
        <v>49</v>
      </c>
      <c r="L416" t="s">
        <v>234</v>
      </c>
      <c r="M416">
        <v>95.1</v>
      </c>
      <c r="N416">
        <v>165179</v>
      </c>
      <c r="O416">
        <f>YEAR(Table1[[#This Row],[Date]])</f>
        <v>2026</v>
      </c>
      <c r="P416" t="str">
        <f>TEXT(Table1[[#This Row],[Date]],"MMM")</f>
        <v>Feb</v>
      </c>
      <c r="Q416">
        <f>Table1[[#This Row],[Revenue]]-Table1[[#This Row],[Expenses]]</f>
        <v>162235</v>
      </c>
    </row>
    <row r="417" spans="1:17" x14ac:dyDescent="0.3">
      <c r="A417" s="2">
        <v>46073</v>
      </c>
      <c r="B417" t="s">
        <v>45</v>
      </c>
      <c r="C417" t="s">
        <v>41</v>
      </c>
      <c r="D417">
        <v>135348</v>
      </c>
      <c r="E417">
        <v>74289</v>
      </c>
      <c r="F417">
        <v>1008</v>
      </c>
      <c r="G417">
        <v>132623</v>
      </c>
      <c r="H417" t="s">
        <v>25</v>
      </c>
      <c r="I417" t="s">
        <v>37</v>
      </c>
      <c r="J417" t="s">
        <v>21</v>
      </c>
      <c r="K417" t="s">
        <v>43</v>
      </c>
      <c r="L417" t="s">
        <v>136</v>
      </c>
      <c r="M417">
        <v>79.099999999999994</v>
      </c>
      <c r="N417">
        <v>63938</v>
      </c>
      <c r="O417">
        <f>YEAR(Table1[[#This Row],[Date]])</f>
        <v>2026</v>
      </c>
      <c r="P417" t="str">
        <f>TEXT(Table1[[#This Row],[Date]],"MMM")</f>
        <v>Feb</v>
      </c>
      <c r="Q417">
        <f>Table1[[#This Row],[Revenue]]-Table1[[#This Row],[Expenses]]</f>
        <v>61059</v>
      </c>
    </row>
    <row r="418" spans="1:17" x14ac:dyDescent="0.3">
      <c r="A418" s="2">
        <v>46074</v>
      </c>
      <c r="B418" t="s">
        <v>17</v>
      </c>
      <c r="C418" t="s">
        <v>39</v>
      </c>
      <c r="D418">
        <v>297549</v>
      </c>
      <c r="E418">
        <v>48790</v>
      </c>
      <c r="F418">
        <v>968</v>
      </c>
      <c r="G418">
        <v>283509</v>
      </c>
      <c r="H418" t="s">
        <v>34</v>
      </c>
      <c r="I418" t="s">
        <v>37</v>
      </c>
      <c r="J418" t="s">
        <v>3</v>
      </c>
      <c r="K418" t="s">
        <v>22</v>
      </c>
      <c r="L418" t="s">
        <v>273</v>
      </c>
      <c r="M418">
        <v>95.6</v>
      </c>
      <c r="N418">
        <v>225287</v>
      </c>
      <c r="O418">
        <f>YEAR(Table1[[#This Row],[Date]])</f>
        <v>2026</v>
      </c>
      <c r="P418" t="str">
        <f>TEXT(Table1[[#This Row],[Date]],"MMM")</f>
        <v>Feb</v>
      </c>
      <c r="Q418">
        <f>Table1[[#This Row],[Revenue]]-Table1[[#This Row],[Expenses]]</f>
        <v>248759</v>
      </c>
    </row>
    <row r="419" spans="1:17" x14ac:dyDescent="0.3">
      <c r="A419" s="2">
        <v>46075</v>
      </c>
      <c r="B419" t="s">
        <v>17</v>
      </c>
      <c r="C419" t="s">
        <v>24</v>
      </c>
      <c r="D419">
        <v>109163</v>
      </c>
      <c r="E419">
        <v>80301</v>
      </c>
      <c r="F419">
        <v>1378</v>
      </c>
      <c r="G419">
        <v>109763</v>
      </c>
      <c r="H419" t="s">
        <v>19</v>
      </c>
      <c r="I419" t="s">
        <v>20</v>
      </c>
      <c r="J419" t="s">
        <v>3</v>
      </c>
      <c r="K419" t="s">
        <v>71</v>
      </c>
      <c r="L419" t="s">
        <v>231</v>
      </c>
      <c r="M419">
        <v>94.3</v>
      </c>
      <c r="N419">
        <v>26964</v>
      </c>
      <c r="O419">
        <f>YEAR(Table1[[#This Row],[Date]])</f>
        <v>2026</v>
      </c>
      <c r="P419" t="str">
        <f>TEXT(Table1[[#This Row],[Date]],"MMM")</f>
        <v>Feb</v>
      </c>
      <c r="Q419">
        <f>Table1[[#This Row],[Revenue]]-Table1[[#This Row],[Expenses]]</f>
        <v>28862</v>
      </c>
    </row>
    <row r="420" spans="1:17" x14ac:dyDescent="0.3">
      <c r="A420" s="2">
        <v>46076</v>
      </c>
      <c r="B420" t="s">
        <v>32</v>
      </c>
      <c r="C420" t="s">
        <v>41</v>
      </c>
      <c r="D420">
        <v>264822</v>
      </c>
      <c r="E420">
        <v>194345</v>
      </c>
      <c r="F420">
        <v>342</v>
      </c>
      <c r="G420">
        <v>287624</v>
      </c>
      <c r="H420" t="s">
        <v>34</v>
      </c>
      <c r="I420" t="s">
        <v>26</v>
      </c>
      <c r="J420" t="s">
        <v>29</v>
      </c>
      <c r="K420" t="s">
        <v>24</v>
      </c>
      <c r="L420" t="s">
        <v>219</v>
      </c>
      <c r="M420">
        <v>94.9</v>
      </c>
      <c r="N420">
        <v>64714</v>
      </c>
      <c r="O420">
        <f>YEAR(Table1[[#This Row],[Date]])</f>
        <v>2026</v>
      </c>
      <c r="P420" t="str">
        <f>TEXT(Table1[[#This Row],[Date]],"MMM")</f>
        <v>Feb</v>
      </c>
      <c r="Q420">
        <f>Table1[[#This Row],[Revenue]]-Table1[[#This Row],[Expenses]]</f>
        <v>70477</v>
      </c>
    </row>
    <row r="421" spans="1:17" x14ac:dyDescent="0.3">
      <c r="A421" s="2">
        <v>46077</v>
      </c>
      <c r="B421" t="s">
        <v>28</v>
      </c>
      <c r="C421" t="s">
        <v>18</v>
      </c>
      <c r="D421">
        <v>206846</v>
      </c>
      <c r="E421">
        <v>67023</v>
      </c>
      <c r="F421">
        <v>1493</v>
      </c>
      <c r="G421">
        <v>226877</v>
      </c>
      <c r="H421" t="s">
        <v>25</v>
      </c>
      <c r="I421" t="s">
        <v>20</v>
      </c>
      <c r="J421" t="s">
        <v>3</v>
      </c>
      <c r="K421" t="s">
        <v>24</v>
      </c>
      <c r="L421" t="s">
        <v>94</v>
      </c>
      <c r="M421">
        <v>79.5</v>
      </c>
      <c r="N421">
        <v>127575</v>
      </c>
      <c r="O421">
        <f>YEAR(Table1[[#This Row],[Date]])</f>
        <v>2026</v>
      </c>
      <c r="P421" t="str">
        <f>TEXT(Table1[[#This Row],[Date]],"MMM")</f>
        <v>Feb</v>
      </c>
      <c r="Q421">
        <f>Table1[[#This Row],[Revenue]]-Table1[[#This Row],[Expenses]]</f>
        <v>139823</v>
      </c>
    </row>
    <row r="422" spans="1:17" x14ac:dyDescent="0.3">
      <c r="A422" s="2">
        <v>46078</v>
      </c>
      <c r="B422" t="s">
        <v>45</v>
      </c>
      <c r="C422" t="s">
        <v>18</v>
      </c>
      <c r="D422">
        <v>168263</v>
      </c>
      <c r="E422">
        <v>126626</v>
      </c>
      <c r="F422">
        <v>231</v>
      </c>
      <c r="G422">
        <v>183208</v>
      </c>
      <c r="H422" t="s">
        <v>54</v>
      </c>
      <c r="I422" t="s">
        <v>26</v>
      </c>
      <c r="J422" t="s">
        <v>3</v>
      </c>
      <c r="K422" t="s">
        <v>49</v>
      </c>
      <c r="L422" t="s">
        <v>274</v>
      </c>
      <c r="M422">
        <v>80.3</v>
      </c>
      <c r="N422">
        <v>45340</v>
      </c>
      <c r="O422">
        <f>YEAR(Table1[[#This Row],[Date]])</f>
        <v>2026</v>
      </c>
      <c r="P422" t="str">
        <f>TEXT(Table1[[#This Row],[Date]],"MMM")</f>
        <v>Feb</v>
      </c>
      <c r="Q422">
        <f>Table1[[#This Row],[Revenue]]-Table1[[#This Row],[Expenses]]</f>
        <v>41637</v>
      </c>
    </row>
    <row r="423" spans="1:17" x14ac:dyDescent="0.3">
      <c r="A423" s="2">
        <v>46079</v>
      </c>
      <c r="B423" t="s">
        <v>32</v>
      </c>
      <c r="C423" t="s">
        <v>41</v>
      </c>
      <c r="D423">
        <v>288971</v>
      </c>
      <c r="E423">
        <v>152924</v>
      </c>
      <c r="F423">
        <v>1288</v>
      </c>
      <c r="G423">
        <v>286486</v>
      </c>
      <c r="H423" t="s">
        <v>34</v>
      </c>
      <c r="I423" t="s">
        <v>20</v>
      </c>
      <c r="J423" t="s">
        <v>29</v>
      </c>
      <c r="K423" t="s">
        <v>49</v>
      </c>
      <c r="L423" t="s">
        <v>229</v>
      </c>
      <c r="M423">
        <v>81.2</v>
      </c>
      <c r="N423">
        <v>124246</v>
      </c>
      <c r="O423">
        <f>YEAR(Table1[[#This Row],[Date]])</f>
        <v>2026</v>
      </c>
      <c r="P423" t="str">
        <f>TEXT(Table1[[#This Row],[Date]],"MMM")</f>
        <v>Feb</v>
      </c>
      <c r="Q423">
        <f>Table1[[#This Row],[Revenue]]-Table1[[#This Row],[Expenses]]</f>
        <v>136047</v>
      </c>
    </row>
    <row r="424" spans="1:17" x14ac:dyDescent="0.3">
      <c r="A424" s="2">
        <v>46080</v>
      </c>
      <c r="B424" t="s">
        <v>45</v>
      </c>
      <c r="C424" t="s">
        <v>39</v>
      </c>
      <c r="D424">
        <v>141968</v>
      </c>
      <c r="E424">
        <v>48211</v>
      </c>
      <c r="F424">
        <v>1070</v>
      </c>
      <c r="G424">
        <v>138144</v>
      </c>
      <c r="H424" t="s">
        <v>34</v>
      </c>
      <c r="I424" t="s">
        <v>26</v>
      </c>
      <c r="J424" t="s">
        <v>51</v>
      </c>
      <c r="K424" t="s">
        <v>71</v>
      </c>
      <c r="L424" t="s">
        <v>275</v>
      </c>
      <c r="M424">
        <v>96.2</v>
      </c>
      <c r="N424">
        <v>85743</v>
      </c>
      <c r="O424">
        <f>YEAR(Table1[[#This Row],[Date]])</f>
        <v>2026</v>
      </c>
      <c r="P424" t="str">
        <f>TEXT(Table1[[#This Row],[Date]],"MMM")</f>
        <v>Feb</v>
      </c>
      <c r="Q424">
        <f>Table1[[#This Row],[Revenue]]-Table1[[#This Row],[Expenses]]</f>
        <v>93757</v>
      </c>
    </row>
    <row r="425" spans="1:17" x14ac:dyDescent="0.3">
      <c r="A425" s="2">
        <v>46081</v>
      </c>
      <c r="B425" t="s">
        <v>32</v>
      </c>
      <c r="C425" t="s">
        <v>48</v>
      </c>
      <c r="D425">
        <v>96620</v>
      </c>
      <c r="E425">
        <v>73376</v>
      </c>
      <c r="F425">
        <v>1171</v>
      </c>
      <c r="G425">
        <v>99118</v>
      </c>
      <c r="H425" t="s">
        <v>34</v>
      </c>
      <c r="I425" t="s">
        <v>20</v>
      </c>
      <c r="J425" t="s">
        <v>42</v>
      </c>
      <c r="K425" t="s">
        <v>49</v>
      </c>
      <c r="L425" t="s">
        <v>88</v>
      </c>
      <c r="M425">
        <v>86.8</v>
      </c>
      <c r="N425">
        <v>24891</v>
      </c>
      <c r="O425">
        <f>YEAR(Table1[[#This Row],[Date]])</f>
        <v>2026</v>
      </c>
      <c r="P425" t="str">
        <f>TEXT(Table1[[#This Row],[Date]],"MMM")</f>
        <v>Feb</v>
      </c>
      <c r="Q425">
        <f>Table1[[#This Row],[Revenue]]-Table1[[#This Row],[Expenses]]</f>
        <v>23244</v>
      </c>
    </row>
    <row r="426" spans="1:17" x14ac:dyDescent="0.3">
      <c r="A426" s="2">
        <v>46082</v>
      </c>
      <c r="B426" t="s">
        <v>45</v>
      </c>
      <c r="C426" t="s">
        <v>18</v>
      </c>
      <c r="D426">
        <v>111450</v>
      </c>
      <c r="E426">
        <v>83740</v>
      </c>
      <c r="F426">
        <v>725</v>
      </c>
      <c r="G426">
        <v>107060</v>
      </c>
      <c r="H426" t="s">
        <v>34</v>
      </c>
      <c r="I426" t="s">
        <v>26</v>
      </c>
      <c r="J426" t="s">
        <v>3</v>
      </c>
      <c r="K426" t="s">
        <v>52</v>
      </c>
      <c r="L426" t="s">
        <v>245</v>
      </c>
      <c r="M426">
        <v>84.1</v>
      </c>
      <c r="N426">
        <v>30266</v>
      </c>
      <c r="O426">
        <f>YEAR(Table1[[#This Row],[Date]])</f>
        <v>2026</v>
      </c>
      <c r="P426" t="str">
        <f>TEXT(Table1[[#This Row],[Date]],"MMM")</f>
        <v>Mar</v>
      </c>
      <c r="Q426">
        <f>Table1[[#This Row],[Revenue]]-Table1[[#This Row],[Expenses]]</f>
        <v>27710</v>
      </c>
    </row>
    <row r="427" spans="1:17" x14ac:dyDescent="0.3">
      <c r="A427" s="2">
        <v>46083</v>
      </c>
      <c r="B427" t="s">
        <v>17</v>
      </c>
      <c r="C427" t="s">
        <v>41</v>
      </c>
      <c r="D427">
        <v>93213</v>
      </c>
      <c r="E427">
        <v>63837</v>
      </c>
      <c r="F427">
        <v>351</v>
      </c>
      <c r="G427">
        <v>86105</v>
      </c>
      <c r="H427" t="s">
        <v>58</v>
      </c>
      <c r="I427" t="s">
        <v>20</v>
      </c>
      <c r="J427" t="s">
        <v>51</v>
      </c>
      <c r="K427" t="s">
        <v>46</v>
      </c>
      <c r="L427" t="s">
        <v>184</v>
      </c>
      <c r="M427">
        <v>85</v>
      </c>
      <c r="N427">
        <v>29115</v>
      </c>
      <c r="O427">
        <f>YEAR(Table1[[#This Row],[Date]])</f>
        <v>2026</v>
      </c>
      <c r="P427" t="str">
        <f>TEXT(Table1[[#This Row],[Date]],"MMM")</f>
        <v>Mar</v>
      </c>
      <c r="Q427">
        <f>Table1[[#This Row],[Revenue]]-Table1[[#This Row],[Expenses]]</f>
        <v>29376</v>
      </c>
    </row>
    <row r="428" spans="1:17" x14ac:dyDescent="0.3">
      <c r="A428" s="2">
        <v>46084</v>
      </c>
      <c r="B428" t="s">
        <v>45</v>
      </c>
      <c r="C428" t="s">
        <v>33</v>
      </c>
      <c r="D428">
        <v>186663</v>
      </c>
      <c r="E428">
        <v>120352</v>
      </c>
      <c r="F428">
        <v>1169</v>
      </c>
      <c r="G428">
        <v>171560</v>
      </c>
      <c r="H428" t="s">
        <v>19</v>
      </c>
      <c r="I428" t="s">
        <v>37</v>
      </c>
      <c r="J428" t="s">
        <v>51</v>
      </c>
      <c r="K428" t="s">
        <v>46</v>
      </c>
      <c r="L428" t="s">
        <v>276</v>
      </c>
      <c r="M428">
        <v>76</v>
      </c>
      <c r="N428">
        <v>63518</v>
      </c>
      <c r="O428">
        <f>YEAR(Table1[[#This Row],[Date]])</f>
        <v>2026</v>
      </c>
      <c r="P428" t="str">
        <f>TEXT(Table1[[#This Row],[Date]],"MMM")</f>
        <v>Mar</v>
      </c>
      <c r="Q428">
        <f>Table1[[#This Row],[Revenue]]-Table1[[#This Row],[Expenses]]</f>
        <v>66311</v>
      </c>
    </row>
    <row r="429" spans="1:17" x14ac:dyDescent="0.3">
      <c r="A429" s="2">
        <v>46085</v>
      </c>
      <c r="B429" t="s">
        <v>45</v>
      </c>
      <c r="C429" t="s">
        <v>24</v>
      </c>
      <c r="D429">
        <v>165871</v>
      </c>
      <c r="E429">
        <v>119366</v>
      </c>
      <c r="F429">
        <v>545</v>
      </c>
      <c r="G429">
        <v>171328</v>
      </c>
      <c r="H429" t="s">
        <v>19</v>
      </c>
      <c r="I429" t="s">
        <v>26</v>
      </c>
      <c r="J429" t="s">
        <v>29</v>
      </c>
      <c r="K429" t="s">
        <v>24</v>
      </c>
      <c r="L429" t="s">
        <v>210</v>
      </c>
      <c r="M429">
        <v>75.099999999999994</v>
      </c>
      <c r="N429">
        <v>47019</v>
      </c>
      <c r="O429">
        <f>YEAR(Table1[[#This Row],[Date]])</f>
        <v>2026</v>
      </c>
      <c r="P429" t="str">
        <f>TEXT(Table1[[#This Row],[Date]],"MMM")</f>
        <v>Mar</v>
      </c>
      <c r="Q429">
        <f>Table1[[#This Row],[Revenue]]-Table1[[#This Row],[Expenses]]</f>
        <v>46505</v>
      </c>
    </row>
    <row r="430" spans="1:17" x14ac:dyDescent="0.3">
      <c r="A430" s="2">
        <v>46086</v>
      </c>
      <c r="B430" t="s">
        <v>32</v>
      </c>
      <c r="C430" t="s">
        <v>41</v>
      </c>
      <c r="D430">
        <v>65202</v>
      </c>
      <c r="E430">
        <v>34398</v>
      </c>
      <c r="F430">
        <v>504</v>
      </c>
      <c r="G430">
        <v>65034</v>
      </c>
      <c r="H430" t="s">
        <v>54</v>
      </c>
      <c r="I430" t="s">
        <v>20</v>
      </c>
      <c r="J430" t="s">
        <v>42</v>
      </c>
      <c r="K430" t="s">
        <v>24</v>
      </c>
      <c r="L430" t="s">
        <v>96</v>
      </c>
      <c r="M430">
        <v>86</v>
      </c>
      <c r="N430">
        <v>30174</v>
      </c>
      <c r="O430">
        <f>YEAR(Table1[[#This Row],[Date]])</f>
        <v>2026</v>
      </c>
      <c r="P430" t="str">
        <f>TEXT(Table1[[#This Row],[Date]],"MMM")</f>
        <v>Mar</v>
      </c>
      <c r="Q430">
        <f>Table1[[#This Row],[Revenue]]-Table1[[#This Row],[Expenses]]</f>
        <v>30804</v>
      </c>
    </row>
    <row r="431" spans="1:17" x14ac:dyDescent="0.3">
      <c r="A431" s="2">
        <v>46087</v>
      </c>
      <c r="B431" t="s">
        <v>17</v>
      </c>
      <c r="C431" t="s">
        <v>24</v>
      </c>
      <c r="D431">
        <v>244507</v>
      </c>
      <c r="E431">
        <v>69498</v>
      </c>
      <c r="F431">
        <v>554</v>
      </c>
      <c r="G431">
        <v>246710</v>
      </c>
      <c r="H431" t="s">
        <v>54</v>
      </c>
      <c r="I431" t="s">
        <v>26</v>
      </c>
      <c r="J431" t="s">
        <v>3</v>
      </c>
      <c r="K431" t="s">
        <v>52</v>
      </c>
      <c r="L431" t="s">
        <v>277</v>
      </c>
      <c r="M431">
        <v>96.8</v>
      </c>
      <c r="N431">
        <v>174167</v>
      </c>
      <c r="O431">
        <f>YEAR(Table1[[#This Row],[Date]])</f>
        <v>2026</v>
      </c>
      <c r="P431" t="str">
        <f>TEXT(Table1[[#This Row],[Date]],"MMM")</f>
        <v>Mar</v>
      </c>
      <c r="Q431">
        <f>Table1[[#This Row],[Revenue]]-Table1[[#This Row],[Expenses]]</f>
        <v>175009</v>
      </c>
    </row>
    <row r="432" spans="1:17" x14ac:dyDescent="0.3">
      <c r="A432" s="2">
        <v>46088</v>
      </c>
      <c r="B432" t="s">
        <v>32</v>
      </c>
      <c r="C432" t="s">
        <v>24</v>
      </c>
      <c r="D432">
        <v>137904</v>
      </c>
      <c r="E432">
        <v>65640</v>
      </c>
      <c r="F432">
        <v>1174</v>
      </c>
      <c r="G432">
        <v>131515</v>
      </c>
      <c r="H432" t="s">
        <v>34</v>
      </c>
      <c r="I432" t="s">
        <v>20</v>
      </c>
      <c r="J432" t="s">
        <v>42</v>
      </c>
      <c r="K432" t="s">
        <v>49</v>
      </c>
      <c r="L432" t="s">
        <v>218</v>
      </c>
      <c r="M432">
        <v>89.5</v>
      </c>
      <c r="N432">
        <v>68346</v>
      </c>
      <c r="O432">
        <f>YEAR(Table1[[#This Row],[Date]])</f>
        <v>2026</v>
      </c>
      <c r="P432" t="str">
        <f>TEXT(Table1[[#This Row],[Date]],"MMM")</f>
        <v>Mar</v>
      </c>
      <c r="Q432">
        <f>Table1[[#This Row],[Revenue]]-Table1[[#This Row],[Expenses]]</f>
        <v>72264</v>
      </c>
    </row>
    <row r="433" spans="1:17" x14ac:dyDescent="0.3">
      <c r="A433" s="2">
        <v>46089</v>
      </c>
      <c r="B433" t="s">
        <v>28</v>
      </c>
      <c r="C433" t="s">
        <v>48</v>
      </c>
      <c r="D433">
        <v>232977</v>
      </c>
      <c r="E433">
        <v>118081</v>
      </c>
      <c r="F433">
        <v>1441</v>
      </c>
      <c r="G433">
        <v>211862</v>
      </c>
      <c r="H433" t="s">
        <v>19</v>
      </c>
      <c r="I433" t="s">
        <v>26</v>
      </c>
      <c r="J433" t="s">
        <v>42</v>
      </c>
      <c r="K433" t="s">
        <v>24</v>
      </c>
      <c r="L433" t="s">
        <v>119</v>
      </c>
      <c r="M433">
        <v>85.8</v>
      </c>
      <c r="N433">
        <v>114648</v>
      </c>
      <c r="O433">
        <f>YEAR(Table1[[#This Row],[Date]])</f>
        <v>2026</v>
      </c>
      <c r="P433" t="str">
        <f>TEXT(Table1[[#This Row],[Date]],"MMM")</f>
        <v>Mar</v>
      </c>
      <c r="Q433">
        <f>Table1[[#This Row],[Revenue]]-Table1[[#This Row],[Expenses]]</f>
        <v>114896</v>
      </c>
    </row>
    <row r="434" spans="1:17" x14ac:dyDescent="0.3">
      <c r="A434" s="2">
        <v>46090</v>
      </c>
      <c r="B434" t="s">
        <v>45</v>
      </c>
      <c r="C434" t="s">
        <v>48</v>
      </c>
      <c r="D434">
        <v>159524</v>
      </c>
      <c r="E434">
        <v>71208</v>
      </c>
      <c r="F434">
        <v>747</v>
      </c>
      <c r="G434">
        <v>156125</v>
      </c>
      <c r="H434" t="s">
        <v>34</v>
      </c>
      <c r="I434" t="s">
        <v>37</v>
      </c>
      <c r="J434" t="s">
        <v>51</v>
      </c>
      <c r="K434" t="s">
        <v>52</v>
      </c>
      <c r="L434" t="s">
        <v>137</v>
      </c>
      <c r="M434">
        <v>87.9</v>
      </c>
      <c r="N434">
        <v>92668</v>
      </c>
      <c r="O434">
        <f>YEAR(Table1[[#This Row],[Date]])</f>
        <v>2026</v>
      </c>
      <c r="P434" t="str">
        <f>TEXT(Table1[[#This Row],[Date]],"MMM")</f>
        <v>Mar</v>
      </c>
      <c r="Q434">
        <f>Table1[[#This Row],[Revenue]]-Table1[[#This Row],[Expenses]]</f>
        <v>88316</v>
      </c>
    </row>
    <row r="435" spans="1:17" x14ac:dyDescent="0.3">
      <c r="A435" s="2">
        <v>46091</v>
      </c>
      <c r="B435" t="s">
        <v>32</v>
      </c>
      <c r="C435" t="s">
        <v>33</v>
      </c>
      <c r="D435">
        <v>54791</v>
      </c>
      <c r="E435">
        <v>39127</v>
      </c>
      <c r="F435">
        <v>1192</v>
      </c>
      <c r="G435">
        <v>57491</v>
      </c>
      <c r="H435" t="s">
        <v>19</v>
      </c>
      <c r="I435" t="s">
        <v>26</v>
      </c>
      <c r="J435" t="s">
        <v>42</v>
      </c>
      <c r="K435" t="s">
        <v>24</v>
      </c>
      <c r="L435" t="s">
        <v>216</v>
      </c>
      <c r="M435">
        <v>94.5</v>
      </c>
      <c r="N435">
        <v>16437</v>
      </c>
      <c r="O435">
        <f>YEAR(Table1[[#This Row],[Date]])</f>
        <v>2026</v>
      </c>
      <c r="P435" t="str">
        <f>TEXT(Table1[[#This Row],[Date]],"MMM")</f>
        <v>Mar</v>
      </c>
      <c r="Q435">
        <f>Table1[[#This Row],[Revenue]]-Table1[[#This Row],[Expenses]]</f>
        <v>15664</v>
      </c>
    </row>
    <row r="436" spans="1:17" x14ac:dyDescent="0.3">
      <c r="A436" s="2">
        <v>46092</v>
      </c>
      <c r="B436" t="s">
        <v>28</v>
      </c>
      <c r="C436" t="s">
        <v>48</v>
      </c>
      <c r="D436">
        <v>158184</v>
      </c>
      <c r="E436">
        <v>126151</v>
      </c>
      <c r="F436">
        <v>1438</v>
      </c>
      <c r="G436">
        <v>169146</v>
      </c>
      <c r="H436" t="s">
        <v>54</v>
      </c>
      <c r="I436" t="s">
        <v>20</v>
      </c>
      <c r="J436" t="s">
        <v>42</v>
      </c>
      <c r="K436" t="s">
        <v>49</v>
      </c>
      <c r="L436" t="s">
        <v>278</v>
      </c>
      <c r="M436">
        <v>76.7</v>
      </c>
      <c r="N436">
        <v>29165</v>
      </c>
      <c r="O436">
        <f>YEAR(Table1[[#This Row],[Date]])</f>
        <v>2026</v>
      </c>
      <c r="P436" t="str">
        <f>TEXT(Table1[[#This Row],[Date]],"MMM")</f>
        <v>Mar</v>
      </c>
      <c r="Q436">
        <f>Table1[[#This Row],[Revenue]]-Table1[[#This Row],[Expenses]]</f>
        <v>32033</v>
      </c>
    </row>
    <row r="437" spans="1:17" x14ac:dyDescent="0.3">
      <c r="A437" s="2">
        <v>46093</v>
      </c>
      <c r="B437" t="s">
        <v>17</v>
      </c>
      <c r="C437" t="s">
        <v>48</v>
      </c>
      <c r="D437">
        <v>131544</v>
      </c>
      <c r="E437">
        <v>59363</v>
      </c>
      <c r="F437">
        <v>299</v>
      </c>
      <c r="G437">
        <v>125489</v>
      </c>
      <c r="H437" t="s">
        <v>19</v>
      </c>
      <c r="I437" t="s">
        <v>37</v>
      </c>
      <c r="J437" t="s">
        <v>42</v>
      </c>
      <c r="K437" t="s">
        <v>30</v>
      </c>
      <c r="L437" t="s">
        <v>279</v>
      </c>
      <c r="M437">
        <v>87.9</v>
      </c>
      <c r="N437">
        <v>65315</v>
      </c>
      <c r="O437">
        <f>YEAR(Table1[[#This Row],[Date]])</f>
        <v>2026</v>
      </c>
      <c r="P437" t="str">
        <f>TEXT(Table1[[#This Row],[Date]],"MMM")</f>
        <v>Mar</v>
      </c>
      <c r="Q437">
        <f>Table1[[#This Row],[Revenue]]-Table1[[#This Row],[Expenses]]</f>
        <v>72181</v>
      </c>
    </row>
    <row r="438" spans="1:17" x14ac:dyDescent="0.3">
      <c r="A438" s="2">
        <v>46094</v>
      </c>
      <c r="B438" t="s">
        <v>45</v>
      </c>
      <c r="C438" t="s">
        <v>18</v>
      </c>
      <c r="D438">
        <v>295667</v>
      </c>
      <c r="E438">
        <v>161566</v>
      </c>
      <c r="F438">
        <v>1001</v>
      </c>
      <c r="G438">
        <v>274120</v>
      </c>
      <c r="H438" t="s">
        <v>25</v>
      </c>
      <c r="I438" t="s">
        <v>26</v>
      </c>
      <c r="J438" t="s">
        <v>29</v>
      </c>
      <c r="K438" t="s">
        <v>24</v>
      </c>
      <c r="L438" t="s">
        <v>259</v>
      </c>
      <c r="M438">
        <v>87.7</v>
      </c>
      <c r="N438">
        <v>127142</v>
      </c>
      <c r="O438">
        <f>YEAR(Table1[[#This Row],[Date]])</f>
        <v>2026</v>
      </c>
      <c r="P438" t="str">
        <f>TEXT(Table1[[#This Row],[Date]],"MMM")</f>
        <v>Mar</v>
      </c>
      <c r="Q438">
        <f>Table1[[#This Row],[Revenue]]-Table1[[#This Row],[Expenses]]</f>
        <v>134101</v>
      </c>
    </row>
    <row r="439" spans="1:17" x14ac:dyDescent="0.3">
      <c r="A439" s="2">
        <v>46095</v>
      </c>
      <c r="B439" t="s">
        <v>45</v>
      </c>
      <c r="C439" t="s">
        <v>24</v>
      </c>
      <c r="D439">
        <v>94828</v>
      </c>
      <c r="E439">
        <v>67816</v>
      </c>
      <c r="F439">
        <v>639</v>
      </c>
      <c r="G439">
        <v>91641</v>
      </c>
      <c r="H439" t="s">
        <v>34</v>
      </c>
      <c r="I439" t="s">
        <v>37</v>
      </c>
      <c r="J439" t="s">
        <v>21</v>
      </c>
      <c r="K439" t="s">
        <v>24</v>
      </c>
      <c r="L439" t="s">
        <v>271</v>
      </c>
      <c r="M439">
        <v>95.8</v>
      </c>
      <c r="N439">
        <v>28647</v>
      </c>
      <c r="O439">
        <f>YEAR(Table1[[#This Row],[Date]])</f>
        <v>2026</v>
      </c>
      <c r="P439" t="str">
        <f>TEXT(Table1[[#This Row],[Date]],"MMM")</f>
        <v>Mar</v>
      </c>
      <c r="Q439">
        <f>Table1[[#This Row],[Revenue]]-Table1[[#This Row],[Expenses]]</f>
        <v>27012</v>
      </c>
    </row>
    <row r="440" spans="1:17" x14ac:dyDescent="0.3">
      <c r="A440" s="2">
        <v>46096</v>
      </c>
      <c r="B440" t="s">
        <v>28</v>
      </c>
      <c r="C440" t="s">
        <v>39</v>
      </c>
      <c r="D440">
        <v>73772</v>
      </c>
      <c r="E440">
        <v>46835</v>
      </c>
      <c r="F440">
        <v>1287</v>
      </c>
      <c r="G440">
        <v>71823</v>
      </c>
      <c r="H440" t="s">
        <v>34</v>
      </c>
      <c r="I440" t="s">
        <v>37</v>
      </c>
      <c r="J440" t="s">
        <v>21</v>
      </c>
      <c r="K440" t="s">
        <v>52</v>
      </c>
      <c r="L440" t="s">
        <v>108</v>
      </c>
      <c r="M440">
        <v>81.400000000000006</v>
      </c>
      <c r="N440">
        <v>25511</v>
      </c>
      <c r="O440">
        <f>YEAR(Table1[[#This Row],[Date]])</f>
        <v>2026</v>
      </c>
      <c r="P440" t="str">
        <f>TEXT(Table1[[#This Row],[Date]],"MMM")</f>
        <v>Mar</v>
      </c>
      <c r="Q440">
        <f>Table1[[#This Row],[Revenue]]-Table1[[#This Row],[Expenses]]</f>
        <v>26937</v>
      </c>
    </row>
    <row r="441" spans="1:17" x14ac:dyDescent="0.3">
      <c r="A441" s="2">
        <v>46097</v>
      </c>
      <c r="B441" t="s">
        <v>32</v>
      </c>
      <c r="C441" t="s">
        <v>33</v>
      </c>
      <c r="D441">
        <v>68685</v>
      </c>
      <c r="E441">
        <v>45970</v>
      </c>
      <c r="F441">
        <v>1047</v>
      </c>
      <c r="G441">
        <v>75032</v>
      </c>
      <c r="H441" t="s">
        <v>25</v>
      </c>
      <c r="I441" t="s">
        <v>37</v>
      </c>
      <c r="J441" t="s">
        <v>21</v>
      </c>
      <c r="K441" t="s">
        <v>22</v>
      </c>
      <c r="L441" t="s">
        <v>214</v>
      </c>
      <c r="M441">
        <v>88.4</v>
      </c>
      <c r="N441">
        <v>21627</v>
      </c>
      <c r="O441">
        <f>YEAR(Table1[[#This Row],[Date]])</f>
        <v>2026</v>
      </c>
      <c r="P441" t="str">
        <f>TEXT(Table1[[#This Row],[Date]],"MMM")</f>
        <v>Mar</v>
      </c>
      <c r="Q441">
        <f>Table1[[#This Row],[Revenue]]-Table1[[#This Row],[Expenses]]</f>
        <v>22715</v>
      </c>
    </row>
    <row r="442" spans="1:17" x14ac:dyDescent="0.3">
      <c r="A442" s="2">
        <v>46098</v>
      </c>
      <c r="B442" t="s">
        <v>17</v>
      </c>
      <c r="C442" t="s">
        <v>48</v>
      </c>
      <c r="D442">
        <v>88162</v>
      </c>
      <c r="E442">
        <v>41203</v>
      </c>
      <c r="F442">
        <v>768</v>
      </c>
      <c r="G442">
        <v>81545</v>
      </c>
      <c r="H442" t="s">
        <v>19</v>
      </c>
      <c r="I442" t="s">
        <v>37</v>
      </c>
      <c r="J442" t="s">
        <v>21</v>
      </c>
      <c r="K442" t="s">
        <v>52</v>
      </c>
      <c r="L442" t="s">
        <v>280</v>
      </c>
      <c r="M442">
        <v>90.6</v>
      </c>
      <c r="N442">
        <v>50915</v>
      </c>
      <c r="O442">
        <f>YEAR(Table1[[#This Row],[Date]])</f>
        <v>2026</v>
      </c>
      <c r="P442" t="str">
        <f>TEXT(Table1[[#This Row],[Date]],"MMM")</f>
        <v>Mar</v>
      </c>
      <c r="Q442">
        <f>Table1[[#This Row],[Revenue]]-Table1[[#This Row],[Expenses]]</f>
        <v>46959</v>
      </c>
    </row>
    <row r="443" spans="1:17" x14ac:dyDescent="0.3">
      <c r="A443" s="2">
        <v>46099</v>
      </c>
      <c r="B443" t="s">
        <v>32</v>
      </c>
      <c r="C443" t="s">
        <v>41</v>
      </c>
      <c r="D443">
        <v>50134</v>
      </c>
      <c r="E443">
        <v>30926</v>
      </c>
      <c r="F443">
        <v>420</v>
      </c>
      <c r="G443">
        <v>47294</v>
      </c>
      <c r="H443" t="s">
        <v>58</v>
      </c>
      <c r="I443" t="s">
        <v>26</v>
      </c>
      <c r="J443" t="s">
        <v>29</v>
      </c>
      <c r="K443" t="s">
        <v>46</v>
      </c>
      <c r="L443" t="s">
        <v>136</v>
      </c>
      <c r="M443">
        <v>85.2</v>
      </c>
      <c r="N443">
        <v>20210</v>
      </c>
      <c r="O443">
        <f>YEAR(Table1[[#This Row],[Date]])</f>
        <v>2026</v>
      </c>
      <c r="P443" t="str">
        <f>TEXT(Table1[[#This Row],[Date]],"MMM")</f>
        <v>Mar</v>
      </c>
      <c r="Q443">
        <f>Table1[[#This Row],[Revenue]]-Table1[[#This Row],[Expenses]]</f>
        <v>19208</v>
      </c>
    </row>
    <row r="444" spans="1:17" x14ac:dyDescent="0.3">
      <c r="A444" s="2">
        <v>46100</v>
      </c>
      <c r="B444" t="s">
        <v>17</v>
      </c>
      <c r="C444" t="s">
        <v>18</v>
      </c>
      <c r="D444">
        <v>67777</v>
      </c>
      <c r="E444">
        <v>31739</v>
      </c>
      <c r="F444">
        <v>811</v>
      </c>
      <c r="G444">
        <v>61354</v>
      </c>
      <c r="H444" t="s">
        <v>54</v>
      </c>
      <c r="I444" t="s">
        <v>37</v>
      </c>
      <c r="J444" t="s">
        <v>21</v>
      </c>
      <c r="K444" t="s">
        <v>43</v>
      </c>
      <c r="L444" t="s">
        <v>235</v>
      </c>
      <c r="M444">
        <v>76.2</v>
      </c>
      <c r="N444">
        <v>33877</v>
      </c>
      <c r="O444">
        <f>YEAR(Table1[[#This Row],[Date]])</f>
        <v>2026</v>
      </c>
      <c r="P444" t="str">
        <f>TEXT(Table1[[#This Row],[Date]],"MMM")</f>
        <v>Mar</v>
      </c>
      <c r="Q444">
        <f>Table1[[#This Row],[Revenue]]-Table1[[#This Row],[Expenses]]</f>
        <v>36038</v>
      </c>
    </row>
    <row r="445" spans="1:17" x14ac:dyDescent="0.3">
      <c r="A445" s="2">
        <v>46101</v>
      </c>
      <c r="B445" t="s">
        <v>28</v>
      </c>
      <c r="C445" t="s">
        <v>18</v>
      </c>
      <c r="D445">
        <v>55156</v>
      </c>
      <c r="E445">
        <v>30753</v>
      </c>
      <c r="F445">
        <v>837</v>
      </c>
      <c r="G445">
        <v>51745</v>
      </c>
      <c r="H445" t="s">
        <v>34</v>
      </c>
      <c r="I445" t="s">
        <v>20</v>
      </c>
      <c r="J445" t="s">
        <v>3</v>
      </c>
      <c r="K445" t="s">
        <v>22</v>
      </c>
      <c r="L445" t="s">
        <v>112</v>
      </c>
      <c r="M445">
        <v>80.5</v>
      </c>
      <c r="N445">
        <v>25824</v>
      </c>
      <c r="O445">
        <f>YEAR(Table1[[#This Row],[Date]])</f>
        <v>2026</v>
      </c>
      <c r="P445" t="str">
        <f>TEXT(Table1[[#This Row],[Date]],"MMM")</f>
        <v>Mar</v>
      </c>
      <c r="Q445">
        <f>Table1[[#This Row],[Revenue]]-Table1[[#This Row],[Expenses]]</f>
        <v>24403</v>
      </c>
    </row>
    <row r="446" spans="1:17" x14ac:dyDescent="0.3">
      <c r="A446" s="2">
        <v>46102</v>
      </c>
      <c r="B446" t="s">
        <v>32</v>
      </c>
      <c r="C446" t="s">
        <v>24</v>
      </c>
      <c r="D446">
        <v>190352</v>
      </c>
      <c r="E446">
        <v>63606</v>
      </c>
      <c r="F446">
        <v>1094</v>
      </c>
      <c r="G446">
        <v>189026</v>
      </c>
      <c r="H446" t="s">
        <v>58</v>
      </c>
      <c r="I446" t="s">
        <v>20</v>
      </c>
      <c r="J446" t="s">
        <v>42</v>
      </c>
      <c r="K446" t="s">
        <v>55</v>
      </c>
      <c r="L446" t="s">
        <v>228</v>
      </c>
      <c r="M446">
        <v>97.1</v>
      </c>
      <c r="N446">
        <v>138426</v>
      </c>
      <c r="O446">
        <f>YEAR(Table1[[#This Row],[Date]])</f>
        <v>2026</v>
      </c>
      <c r="P446" t="str">
        <f>TEXT(Table1[[#This Row],[Date]],"MMM")</f>
        <v>Mar</v>
      </c>
      <c r="Q446">
        <f>Table1[[#This Row],[Revenue]]-Table1[[#This Row],[Expenses]]</f>
        <v>126746</v>
      </c>
    </row>
    <row r="447" spans="1:17" x14ac:dyDescent="0.3">
      <c r="A447" s="2">
        <v>46103</v>
      </c>
      <c r="B447" t="s">
        <v>28</v>
      </c>
      <c r="C447" t="s">
        <v>41</v>
      </c>
      <c r="D447">
        <v>239199</v>
      </c>
      <c r="E447">
        <v>39668</v>
      </c>
      <c r="F447">
        <v>611</v>
      </c>
      <c r="G447">
        <v>245388</v>
      </c>
      <c r="H447" t="s">
        <v>54</v>
      </c>
      <c r="I447" t="s">
        <v>37</v>
      </c>
      <c r="J447" t="s">
        <v>3</v>
      </c>
      <c r="K447" t="s">
        <v>49</v>
      </c>
      <c r="L447" t="s">
        <v>264</v>
      </c>
      <c r="M447">
        <v>82.3</v>
      </c>
      <c r="N447">
        <v>209802</v>
      </c>
      <c r="O447">
        <f>YEAR(Table1[[#This Row],[Date]])</f>
        <v>2026</v>
      </c>
      <c r="P447" t="str">
        <f>TEXT(Table1[[#This Row],[Date]],"MMM")</f>
        <v>Mar</v>
      </c>
      <c r="Q447">
        <f>Table1[[#This Row],[Revenue]]-Table1[[#This Row],[Expenses]]</f>
        <v>199531</v>
      </c>
    </row>
    <row r="448" spans="1:17" x14ac:dyDescent="0.3">
      <c r="A448" s="2">
        <v>46104</v>
      </c>
      <c r="B448" t="s">
        <v>28</v>
      </c>
      <c r="C448" t="s">
        <v>48</v>
      </c>
      <c r="D448">
        <v>224673</v>
      </c>
      <c r="E448">
        <v>50071</v>
      </c>
      <c r="F448">
        <v>500</v>
      </c>
      <c r="G448">
        <v>218528</v>
      </c>
      <c r="H448" t="s">
        <v>25</v>
      </c>
      <c r="I448" t="s">
        <v>37</v>
      </c>
      <c r="J448" t="s">
        <v>3</v>
      </c>
      <c r="K448" t="s">
        <v>49</v>
      </c>
      <c r="L448" t="s">
        <v>180</v>
      </c>
      <c r="M448">
        <v>89.4</v>
      </c>
      <c r="N448">
        <v>163201</v>
      </c>
      <c r="O448">
        <f>YEAR(Table1[[#This Row],[Date]])</f>
        <v>2026</v>
      </c>
      <c r="P448" t="str">
        <f>TEXT(Table1[[#This Row],[Date]],"MMM")</f>
        <v>Mar</v>
      </c>
      <c r="Q448">
        <f>Table1[[#This Row],[Revenue]]-Table1[[#This Row],[Expenses]]</f>
        <v>174602</v>
      </c>
    </row>
    <row r="449" spans="1:17" x14ac:dyDescent="0.3">
      <c r="A449" s="2">
        <v>46105</v>
      </c>
      <c r="B449" t="s">
        <v>32</v>
      </c>
      <c r="C449" t="s">
        <v>48</v>
      </c>
      <c r="D449">
        <v>74276</v>
      </c>
      <c r="E449">
        <v>45524</v>
      </c>
      <c r="F449">
        <v>1450</v>
      </c>
      <c r="G449">
        <v>67796</v>
      </c>
      <c r="H449" t="s">
        <v>34</v>
      </c>
      <c r="I449" t="s">
        <v>20</v>
      </c>
      <c r="J449" t="s">
        <v>3</v>
      </c>
      <c r="K449" t="s">
        <v>55</v>
      </c>
      <c r="L449" t="s">
        <v>281</v>
      </c>
      <c r="M449">
        <v>98.6</v>
      </c>
      <c r="N449">
        <v>30476</v>
      </c>
      <c r="O449">
        <f>YEAR(Table1[[#This Row],[Date]])</f>
        <v>2026</v>
      </c>
      <c r="P449" t="str">
        <f>TEXT(Table1[[#This Row],[Date]],"MMM")</f>
        <v>Mar</v>
      </c>
      <c r="Q449">
        <f>Table1[[#This Row],[Revenue]]-Table1[[#This Row],[Expenses]]</f>
        <v>28752</v>
      </c>
    </row>
    <row r="450" spans="1:17" x14ac:dyDescent="0.3">
      <c r="A450" s="2">
        <v>46106</v>
      </c>
      <c r="B450" t="s">
        <v>45</v>
      </c>
      <c r="C450" t="s">
        <v>33</v>
      </c>
      <c r="D450">
        <v>241190</v>
      </c>
      <c r="E450">
        <v>31284</v>
      </c>
      <c r="F450">
        <v>1133</v>
      </c>
      <c r="G450">
        <v>241188</v>
      </c>
      <c r="H450" t="s">
        <v>34</v>
      </c>
      <c r="I450" t="s">
        <v>26</v>
      </c>
      <c r="J450" t="s">
        <v>3</v>
      </c>
      <c r="K450" t="s">
        <v>49</v>
      </c>
      <c r="L450" t="s">
        <v>133</v>
      </c>
      <c r="M450">
        <v>89.3</v>
      </c>
      <c r="N450">
        <v>229435</v>
      </c>
      <c r="O450">
        <f>YEAR(Table1[[#This Row],[Date]])</f>
        <v>2026</v>
      </c>
      <c r="P450" t="str">
        <f>TEXT(Table1[[#This Row],[Date]],"MMM")</f>
        <v>Mar</v>
      </c>
      <c r="Q450">
        <f>Table1[[#This Row],[Revenue]]-Table1[[#This Row],[Expenses]]</f>
        <v>209906</v>
      </c>
    </row>
    <row r="451" spans="1:17" x14ac:dyDescent="0.3">
      <c r="A451" s="2">
        <v>46107</v>
      </c>
      <c r="B451" t="s">
        <v>28</v>
      </c>
      <c r="C451" t="s">
        <v>24</v>
      </c>
      <c r="D451">
        <v>125524</v>
      </c>
      <c r="E451">
        <v>77434</v>
      </c>
      <c r="F451">
        <v>929</v>
      </c>
      <c r="G451">
        <v>137017</v>
      </c>
      <c r="H451" t="s">
        <v>19</v>
      </c>
      <c r="I451" t="s">
        <v>26</v>
      </c>
      <c r="J451" t="s">
        <v>42</v>
      </c>
      <c r="K451" t="s">
        <v>24</v>
      </c>
      <c r="L451" t="s">
        <v>74</v>
      </c>
      <c r="M451">
        <v>94.3</v>
      </c>
      <c r="N451">
        <v>44652</v>
      </c>
      <c r="O451">
        <f>YEAR(Table1[[#This Row],[Date]])</f>
        <v>2026</v>
      </c>
      <c r="P451" t="str">
        <f>TEXT(Table1[[#This Row],[Date]],"MMM")</f>
        <v>Mar</v>
      </c>
      <c r="Q451">
        <f>Table1[[#This Row],[Revenue]]-Table1[[#This Row],[Expenses]]</f>
        <v>48090</v>
      </c>
    </row>
    <row r="452" spans="1:17" x14ac:dyDescent="0.3">
      <c r="A452" s="2">
        <v>46108</v>
      </c>
      <c r="B452" t="s">
        <v>45</v>
      </c>
      <c r="C452" t="s">
        <v>41</v>
      </c>
      <c r="D452">
        <v>59502</v>
      </c>
      <c r="E452">
        <v>42279</v>
      </c>
      <c r="F452">
        <v>1226</v>
      </c>
      <c r="G452">
        <v>59494</v>
      </c>
      <c r="H452" t="s">
        <v>34</v>
      </c>
      <c r="I452" t="s">
        <v>26</v>
      </c>
      <c r="J452" t="s">
        <v>3</v>
      </c>
      <c r="K452" t="s">
        <v>24</v>
      </c>
      <c r="L452" t="s">
        <v>251</v>
      </c>
      <c r="M452">
        <v>98.2</v>
      </c>
      <c r="N452">
        <v>17568</v>
      </c>
      <c r="O452">
        <f>YEAR(Table1[[#This Row],[Date]])</f>
        <v>2026</v>
      </c>
      <c r="P452" t="str">
        <f>TEXT(Table1[[#This Row],[Date]],"MMM")</f>
        <v>Mar</v>
      </c>
      <c r="Q452">
        <f>Table1[[#This Row],[Revenue]]-Table1[[#This Row],[Expenses]]</f>
        <v>17223</v>
      </c>
    </row>
    <row r="453" spans="1:17" x14ac:dyDescent="0.3">
      <c r="A453" s="2">
        <v>46109</v>
      </c>
      <c r="B453" t="s">
        <v>45</v>
      </c>
      <c r="C453" t="s">
        <v>24</v>
      </c>
      <c r="D453">
        <v>59923</v>
      </c>
      <c r="E453">
        <v>42094</v>
      </c>
      <c r="F453">
        <v>1492</v>
      </c>
      <c r="G453">
        <v>65146</v>
      </c>
      <c r="H453" t="s">
        <v>25</v>
      </c>
      <c r="I453" t="s">
        <v>20</v>
      </c>
      <c r="J453" t="s">
        <v>29</v>
      </c>
      <c r="K453" t="s">
        <v>46</v>
      </c>
      <c r="L453" t="s">
        <v>66</v>
      </c>
      <c r="M453">
        <v>90.6</v>
      </c>
      <c r="N453">
        <v>16662</v>
      </c>
      <c r="O453">
        <f>YEAR(Table1[[#This Row],[Date]])</f>
        <v>2026</v>
      </c>
      <c r="P453" t="str">
        <f>TEXT(Table1[[#This Row],[Date]],"MMM")</f>
        <v>Mar</v>
      </c>
      <c r="Q453">
        <f>Table1[[#This Row],[Revenue]]-Table1[[#This Row],[Expenses]]</f>
        <v>17829</v>
      </c>
    </row>
    <row r="454" spans="1:17" x14ac:dyDescent="0.3">
      <c r="A454" s="2">
        <v>46110</v>
      </c>
      <c r="B454" t="s">
        <v>45</v>
      </c>
      <c r="C454" t="s">
        <v>24</v>
      </c>
      <c r="D454">
        <v>179212</v>
      </c>
      <c r="E454">
        <v>32549</v>
      </c>
      <c r="F454">
        <v>484</v>
      </c>
      <c r="G454">
        <v>179264</v>
      </c>
      <c r="H454" t="s">
        <v>25</v>
      </c>
      <c r="I454" t="s">
        <v>26</v>
      </c>
      <c r="J454" t="s">
        <v>3</v>
      </c>
      <c r="K454" t="s">
        <v>30</v>
      </c>
      <c r="L454" t="s">
        <v>120</v>
      </c>
      <c r="M454">
        <v>82.8</v>
      </c>
      <c r="N454">
        <v>145705</v>
      </c>
      <c r="O454">
        <f>YEAR(Table1[[#This Row],[Date]])</f>
        <v>2026</v>
      </c>
      <c r="P454" t="str">
        <f>TEXT(Table1[[#This Row],[Date]],"MMM")</f>
        <v>Mar</v>
      </c>
      <c r="Q454">
        <f>Table1[[#This Row],[Revenue]]-Table1[[#This Row],[Expenses]]</f>
        <v>146663</v>
      </c>
    </row>
    <row r="455" spans="1:17" x14ac:dyDescent="0.3">
      <c r="A455" s="2">
        <v>46111</v>
      </c>
      <c r="B455" t="s">
        <v>32</v>
      </c>
      <c r="C455" t="s">
        <v>48</v>
      </c>
      <c r="D455">
        <v>286435</v>
      </c>
      <c r="E455">
        <v>184576</v>
      </c>
      <c r="F455">
        <v>842</v>
      </c>
      <c r="G455">
        <v>291493</v>
      </c>
      <c r="H455" t="s">
        <v>19</v>
      </c>
      <c r="I455" t="s">
        <v>26</v>
      </c>
      <c r="J455" t="s">
        <v>3</v>
      </c>
      <c r="K455" t="s">
        <v>35</v>
      </c>
      <c r="L455" t="s">
        <v>229</v>
      </c>
      <c r="M455">
        <v>98.9</v>
      </c>
      <c r="N455">
        <v>108601</v>
      </c>
      <c r="O455">
        <f>YEAR(Table1[[#This Row],[Date]])</f>
        <v>2026</v>
      </c>
      <c r="P455" t="str">
        <f>TEXT(Table1[[#This Row],[Date]],"MMM")</f>
        <v>Mar</v>
      </c>
      <c r="Q455">
        <f>Table1[[#This Row],[Revenue]]-Table1[[#This Row],[Expenses]]</f>
        <v>101859</v>
      </c>
    </row>
    <row r="456" spans="1:17" x14ac:dyDescent="0.3">
      <c r="A456" s="2">
        <v>46112</v>
      </c>
      <c r="B456" t="s">
        <v>45</v>
      </c>
      <c r="C456" t="s">
        <v>41</v>
      </c>
      <c r="D456">
        <v>211878</v>
      </c>
      <c r="E456">
        <v>42842</v>
      </c>
      <c r="F456">
        <v>821</v>
      </c>
      <c r="G456">
        <v>223821</v>
      </c>
      <c r="H456" t="s">
        <v>54</v>
      </c>
      <c r="I456" t="s">
        <v>37</v>
      </c>
      <c r="J456" t="s">
        <v>29</v>
      </c>
      <c r="K456" t="s">
        <v>22</v>
      </c>
      <c r="L456" t="s">
        <v>150</v>
      </c>
      <c r="M456">
        <v>88.4</v>
      </c>
      <c r="N456">
        <v>155267</v>
      </c>
      <c r="O456">
        <f>YEAR(Table1[[#This Row],[Date]])</f>
        <v>2026</v>
      </c>
      <c r="P456" t="str">
        <f>TEXT(Table1[[#This Row],[Date]],"MMM")</f>
        <v>Mar</v>
      </c>
      <c r="Q456">
        <f>Table1[[#This Row],[Revenue]]-Table1[[#This Row],[Expenses]]</f>
        <v>169036</v>
      </c>
    </row>
    <row r="457" spans="1:17" x14ac:dyDescent="0.3">
      <c r="A457" s="2">
        <v>46113</v>
      </c>
      <c r="B457" t="s">
        <v>28</v>
      </c>
      <c r="C457" t="s">
        <v>33</v>
      </c>
      <c r="D457">
        <v>240282</v>
      </c>
      <c r="E457">
        <v>162995</v>
      </c>
      <c r="F457">
        <v>1105</v>
      </c>
      <c r="G457">
        <v>245719</v>
      </c>
      <c r="H457" t="s">
        <v>25</v>
      </c>
      <c r="I457" t="s">
        <v>20</v>
      </c>
      <c r="J457" t="s">
        <v>42</v>
      </c>
      <c r="K457" t="s">
        <v>24</v>
      </c>
      <c r="L457" t="s">
        <v>149</v>
      </c>
      <c r="M457">
        <v>91.8</v>
      </c>
      <c r="N457">
        <v>74246</v>
      </c>
      <c r="O457">
        <f>YEAR(Table1[[#This Row],[Date]])</f>
        <v>2026</v>
      </c>
      <c r="P457" t="str">
        <f>TEXT(Table1[[#This Row],[Date]],"MMM")</f>
        <v>Apr</v>
      </c>
      <c r="Q457">
        <f>Table1[[#This Row],[Revenue]]-Table1[[#This Row],[Expenses]]</f>
        <v>77287</v>
      </c>
    </row>
    <row r="458" spans="1:17" x14ac:dyDescent="0.3">
      <c r="A458" s="2">
        <v>46114</v>
      </c>
      <c r="B458" t="s">
        <v>32</v>
      </c>
      <c r="C458" t="s">
        <v>39</v>
      </c>
      <c r="D458">
        <v>70525</v>
      </c>
      <c r="E458">
        <v>52715</v>
      </c>
      <c r="F458">
        <v>545</v>
      </c>
      <c r="G458">
        <v>69178</v>
      </c>
      <c r="H458" t="s">
        <v>58</v>
      </c>
      <c r="I458" t="s">
        <v>20</v>
      </c>
      <c r="J458" t="s">
        <v>21</v>
      </c>
      <c r="K458" t="s">
        <v>30</v>
      </c>
      <c r="L458" t="s">
        <v>209</v>
      </c>
      <c r="M458">
        <v>95.9</v>
      </c>
      <c r="N458">
        <v>18492</v>
      </c>
      <c r="O458">
        <f>YEAR(Table1[[#This Row],[Date]])</f>
        <v>2026</v>
      </c>
      <c r="P458" t="str">
        <f>TEXT(Table1[[#This Row],[Date]],"MMM")</f>
        <v>Apr</v>
      </c>
      <c r="Q458">
        <f>Table1[[#This Row],[Revenue]]-Table1[[#This Row],[Expenses]]</f>
        <v>17810</v>
      </c>
    </row>
    <row r="459" spans="1:17" x14ac:dyDescent="0.3">
      <c r="A459" s="2">
        <v>46115</v>
      </c>
      <c r="B459" t="s">
        <v>45</v>
      </c>
      <c r="C459" t="s">
        <v>24</v>
      </c>
      <c r="D459">
        <v>280245</v>
      </c>
      <c r="E459">
        <v>38282</v>
      </c>
      <c r="F459">
        <v>1279</v>
      </c>
      <c r="G459">
        <v>283173</v>
      </c>
      <c r="H459" t="s">
        <v>34</v>
      </c>
      <c r="I459" t="s">
        <v>20</v>
      </c>
      <c r="J459" t="s">
        <v>29</v>
      </c>
      <c r="K459" t="s">
        <v>46</v>
      </c>
      <c r="L459" t="s">
        <v>23</v>
      </c>
      <c r="M459">
        <v>98</v>
      </c>
      <c r="N459">
        <v>230589</v>
      </c>
      <c r="O459">
        <f>YEAR(Table1[[#This Row],[Date]])</f>
        <v>2026</v>
      </c>
      <c r="P459" t="str">
        <f>TEXT(Table1[[#This Row],[Date]],"MMM")</f>
        <v>Apr</v>
      </c>
      <c r="Q459">
        <f>Table1[[#This Row],[Revenue]]-Table1[[#This Row],[Expenses]]</f>
        <v>241963</v>
      </c>
    </row>
    <row r="460" spans="1:17" x14ac:dyDescent="0.3">
      <c r="A460" s="2">
        <v>46116</v>
      </c>
      <c r="B460" t="s">
        <v>45</v>
      </c>
      <c r="C460" t="s">
        <v>41</v>
      </c>
      <c r="D460">
        <v>150538</v>
      </c>
      <c r="E460">
        <v>59536</v>
      </c>
      <c r="F460">
        <v>751</v>
      </c>
      <c r="G460">
        <v>162050</v>
      </c>
      <c r="H460" t="s">
        <v>19</v>
      </c>
      <c r="I460" t="s">
        <v>20</v>
      </c>
      <c r="J460" t="s">
        <v>3</v>
      </c>
      <c r="K460" t="s">
        <v>49</v>
      </c>
      <c r="L460" t="s">
        <v>234</v>
      </c>
      <c r="M460">
        <v>86</v>
      </c>
      <c r="N460">
        <v>81988</v>
      </c>
      <c r="O460">
        <f>YEAR(Table1[[#This Row],[Date]])</f>
        <v>2026</v>
      </c>
      <c r="P460" t="str">
        <f>TEXT(Table1[[#This Row],[Date]],"MMM")</f>
        <v>Apr</v>
      </c>
      <c r="Q460">
        <f>Table1[[#This Row],[Revenue]]-Table1[[#This Row],[Expenses]]</f>
        <v>91002</v>
      </c>
    </row>
    <row r="461" spans="1:17" x14ac:dyDescent="0.3">
      <c r="A461" s="2">
        <v>46117</v>
      </c>
      <c r="B461" t="s">
        <v>28</v>
      </c>
      <c r="C461" t="s">
        <v>48</v>
      </c>
      <c r="D461">
        <v>102524</v>
      </c>
      <c r="E461">
        <v>31596</v>
      </c>
      <c r="F461">
        <v>1128</v>
      </c>
      <c r="G461">
        <v>112691</v>
      </c>
      <c r="H461" t="s">
        <v>54</v>
      </c>
      <c r="I461" t="s">
        <v>20</v>
      </c>
      <c r="J461" t="s">
        <v>21</v>
      </c>
      <c r="K461" t="s">
        <v>52</v>
      </c>
      <c r="L461" t="s">
        <v>126</v>
      </c>
      <c r="M461">
        <v>82.9</v>
      </c>
      <c r="N461">
        <v>77439</v>
      </c>
      <c r="O461">
        <f>YEAR(Table1[[#This Row],[Date]])</f>
        <v>2026</v>
      </c>
      <c r="P461" t="str">
        <f>TEXT(Table1[[#This Row],[Date]],"MMM")</f>
        <v>Apr</v>
      </c>
      <c r="Q461">
        <f>Table1[[#This Row],[Revenue]]-Table1[[#This Row],[Expenses]]</f>
        <v>70928</v>
      </c>
    </row>
    <row r="462" spans="1:17" x14ac:dyDescent="0.3">
      <c r="A462" s="2">
        <v>46118</v>
      </c>
      <c r="B462" t="s">
        <v>45</v>
      </c>
      <c r="C462" t="s">
        <v>24</v>
      </c>
      <c r="D462">
        <v>169004</v>
      </c>
      <c r="E462">
        <v>91124</v>
      </c>
      <c r="F462">
        <v>336</v>
      </c>
      <c r="G462">
        <v>153174</v>
      </c>
      <c r="H462" t="s">
        <v>58</v>
      </c>
      <c r="I462" t="s">
        <v>20</v>
      </c>
      <c r="J462" t="s">
        <v>42</v>
      </c>
      <c r="K462" t="s">
        <v>35</v>
      </c>
      <c r="L462" t="s">
        <v>282</v>
      </c>
      <c r="M462">
        <v>90.1</v>
      </c>
      <c r="N462">
        <v>71856</v>
      </c>
      <c r="O462">
        <f>YEAR(Table1[[#This Row],[Date]])</f>
        <v>2026</v>
      </c>
      <c r="P462" t="str">
        <f>TEXT(Table1[[#This Row],[Date]],"MMM")</f>
        <v>Apr</v>
      </c>
      <c r="Q462">
        <f>Table1[[#This Row],[Revenue]]-Table1[[#This Row],[Expenses]]</f>
        <v>77880</v>
      </c>
    </row>
    <row r="463" spans="1:17" x14ac:dyDescent="0.3">
      <c r="A463" s="2">
        <v>46119</v>
      </c>
      <c r="B463" t="s">
        <v>28</v>
      </c>
      <c r="C463" t="s">
        <v>48</v>
      </c>
      <c r="D463">
        <v>87144</v>
      </c>
      <c r="E463">
        <v>64659</v>
      </c>
      <c r="F463">
        <v>238</v>
      </c>
      <c r="G463">
        <v>81044</v>
      </c>
      <c r="H463" t="s">
        <v>25</v>
      </c>
      <c r="I463" t="s">
        <v>20</v>
      </c>
      <c r="J463" t="s">
        <v>3</v>
      </c>
      <c r="K463" t="s">
        <v>35</v>
      </c>
      <c r="L463" t="s">
        <v>221</v>
      </c>
      <c r="M463">
        <v>92.3</v>
      </c>
      <c r="N463">
        <v>20753</v>
      </c>
      <c r="O463">
        <f>YEAR(Table1[[#This Row],[Date]])</f>
        <v>2026</v>
      </c>
      <c r="P463" t="str">
        <f>TEXT(Table1[[#This Row],[Date]],"MMM")</f>
        <v>Apr</v>
      </c>
      <c r="Q463">
        <f>Table1[[#This Row],[Revenue]]-Table1[[#This Row],[Expenses]]</f>
        <v>22485</v>
      </c>
    </row>
    <row r="464" spans="1:17" x14ac:dyDescent="0.3">
      <c r="A464" s="2">
        <v>46120</v>
      </c>
      <c r="B464" t="s">
        <v>45</v>
      </c>
      <c r="C464" t="s">
        <v>39</v>
      </c>
      <c r="D464">
        <v>213893</v>
      </c>
      <c r="E464">
        <v>33164</v>
      </c>
      <c r="F464">
        <v>866</v>
      </c>
      <c r="G464">
        <v>232868</v>
      </c>
      <c r="H464" t="s">
        <v>25</v>
      </c>
      <c r="I464" t="s">
        <v>26</v>
      </c>
      <c r="J464" t="s">
        <v>29</v>
      </c>
      <c r="K464" t="s">
        <v>43</v>
      </c>
      <c r="L464" t="s">
        <v>263</v>
      </c>
      <c r="M464">
        <v>81.8</v>
      </c>
      <c r="N464">
        <v>169741</v>
      </c>
      <c r="O464">
        <f>YEAR(Table1[[#This Row],[Date]])</f>
        <v>2026</v>
      </c>
      <c r="P464" t="str">
        <f>TEXT(Table1[[#This Row],[Date]],"MMM")</f>
        <v>Apr</v>
      </c>
      <c r="Q464">
        <f>Table1[[#This Row],[Revenue]]-Table1[[#This Row],[Expenses]]</f>
        <v>180729</v>
      </c>
    </row>
    <row r="465" spans="1:17" x14ac:dyDescent="0.3">
      <c r="A465" s="2">
        <v>46121</v>
      </c>
      <c r="B465" t="s">
        <v>17</v>
      </c>
      <c r="C465" t="s">
        <v>24</v>
      </c>
      <c r="D465">
        <v>216848</v>
      </c>
      <c r="E465">
        <v>79506</v>
      </c>
      <c r="F465">
        <v>1288</v>
      </c>
      <c r="G465">
        <v>213346</v>
      </c>
      <c r="H465" t="s">
        <v>58</v>
      </c>
      <c r="I465" t="s">
        <v>26</v>
      </c>
      <c r="J465" t="s">
        <v>21</v>
      </c>
      <c r="K465" t="s">
        <v>55</v>
      </c>
      <c r="L465" t="s">
        <v>257</v>
      </c>
      <c r="M465">
        <v>83.2</v>
      </c>
      <c r="N465">
        <v>127104</v>
      </c>
      <c r="O465">
        <f>YEAR(Table1[[#This Row],[Date]])</f>
        <v>2026</v>
      </c>
      <c r="P465" t="str">
        <f>TEXT(Table1[[#This Row],[Date]],"MMM")</f>
        <v>Apr</v>
      </c>
      <c r="Q465">
        <f>Table1[[#This Row],[Revenue]]-Table1[[#This Row],[Expenses]]</f>
        <v>137342</v>
      </c>
    </row>
    <row r="466" spans="1:17" x14ac:dyDescent="0.3">
      <c r="A466" s="2">
        <v>46122</v>
      </c>
      <c r="B466" t="s">
        <v>28</v>
      </c>
      <c r="C466" t="s">
        <v>18</v>
      </c>
      <c r="D466">
        <v>103565</v>
      </c>
      <c r="E466">
        <v>71587</v>
      </c>
      <c r="F466">
        <v>1210</v>
      </c>
      <c r="G466">
        <v>99649</v>
      </c>
      <c r="H466" t="s">
        <v>34</v>
      </c>
      <c r="I466" t="s">
        <v>26</v>
      </c>
      <c r="J466" t="s">
        <v>29</v>
      </c>
      <c r="K466" t="s">
        <v>22</v>
      </c>
      <c r="L466" t="s">
        <v>256</v>
      </c>
      <c r="M466">
        <v>96.4</v>
      </c>
      <c r="N466">
        <v>33851</v>
      </c>
      <c r="O466">
        <f>YEAR(Table1[[#This Row],[Date]])</f>
        <v>2026</v>
      </c>
      <c r="P466" t="str">
        <f>TEXT(Table1[[#This Row],[Date]],"MMM")</f>
        <v>Apr</v>
      </c>
      <c r="Q466">
        <f>Table1[[#This Row],[Revenue]]-Table1[[#This Row],[Expenses]]</f>
        <v>31978</v>
      </c>
    </row>
    <row r="467" spans="1:17" x14ac:dyDescent="0.3">
      <c r="A467" s="2">
        <v>46123</v>
      </c>
      <c r="B467" t="s">
        <v>17</v>
      </c>
      <c r="C467" t="s">
        <v>48</v>
      </c>
      <c r="D467">
        <v>243911</v>
      </c>
      <c r="E467">
        <v>78051</v>
      </c>
      <c r="F467">
        <v>391</v>
      </c>
      <c r="G467">
        <v>237143</v>
      </c>
      <c r="H467" t="s">
        <v>34</v>
      </c>
      <c r="I467" t="s">
        <v>26</v>
      </c>
      <c r="J467" t="s">
        <v>29</v>
      </c>
      <c r="K467" t="s">
        <v>49</v>
      </c>
      <c r="L467" t="s">
        <v>219</v>
      </c>
      <c r="M467">
        <v>78.400000000000006</v>
      </c>
      <c r="N467">
        <v>175297</v>
      </c>
      <c r="O467">
        <f>YEAR(Table1[[#This Row],[Date]])</f>
        <v>2026</v>
      </c>
      <c r="P467" t="str">
        <f>TEXT(Table1[[#This Row],[Date]],"MMM")</f>
        <v>Apr</v>
      </c>
      <c r="Q467">
        <f>Table1[[#This Row],[Revenue]]-Table1[[#This Row],[Expenses]]</f>
        <v>165860</v>
      </c>
    </row>
    <row r="468" spans="1:17" x14ac:dyDescent="0.3">
      <c r="A468" s="2">
        <v>46124</v>
      </c>
      <c r="B468" t="s">
        <v>32</v>
      </c>
      <c r="C468" t="s">
        <v>41</v>
      </c>
      <c r="D468">
        <v>94636</v>
      </c>
      <c r="E468">
        <v>69735</v>
      </c>
      <c r="F468">
        <v>789</v>
      </c>
      <c r="G468">
        <v>94155</v>
      </c>
      <c r="H468" t="s">
        <v>25</v>
      </c>
      <c r="I468" t="s">
        <v>26</v>
      </c>
      <c r="J468" t="s">
        <v>51</v>
      </c>
      <c r="K468" t="s">
        <v>49</v>
      </c>
      <c r="L468" t="s">
        <v>283</v>
      </c>
      <c r="M468">
        <v>96</v>
      </c>
      <c r="N468">
        <v>23811</v>
      </c>
      <c r="O468">
        <f>YEAR(Table1[[#This Row],[Date]])</f>
        <v>2026</v>
      </c>
      <c r="P468" t="str">
        <f>TEXT(Table1[[#This Row],[Date]],"MMM")</f>
        <v>Apr</v>
      </c>
      <c r="Q468">
        <f>Table1[[#This Row],[Revenue]]-Table1[[#This Row],[Expenses]]</f>
        <v>24901</v>
      </c>
    </row>
    <row r="469" spans="1:17" x14ac:dyDescent="0.3">
      <c r="A469" s="2">
        <v>46125</v>
      </c>
      <c r="B469" t="s">
        <v>32</v>
      </c>
      <c r="C469" t="s">
        <v>18</v>
      </c>
      <c r="D469">
        <v>207806</v>
      </c>
      <c r="E469">
        <v>120715</v>
      </c>
      <c r="F469">
        <v>1349</v>
      </c>
      <c r="G469">
        <v>214535</v>
      </c>
      <c r="H469" t="s">
        <v>25</v>
      </c>
      <c r="I469" t="s">
        <v>20</v>
      </c>
      <c r="J469" t="s">
        <v>42</v>
      </c>
      <c r="K469" t="s">
        <v>49</v>
      </c>
      <c r="L469" t="s">
        <v>73</v>
      </c>
      <c r="M469">
        <v>86.7</v>
      </c>
      <c r="N469">
        <v>82302</v>
      </c>
      <c r="O469">
        <f>YEAR(Table1[[#This Row],[Date]])</f>
        <v>2026</v>
      </c>
      <c r="P469" t="str">
        <f>TEXT(Table1[[#This Row],[Date]],"MMM")</f>
        <v>Apr</v>
      </c>
      <c r="Q469">
        <f>Table1[[#This Row],[Revenue]]-Table1[[#This Row],[Expenses]]</f>
        <v>87091</v>
      </c>
    </row>
    <row r="470" spans="1:17" x14ac:dyDescent="0.3">
      <c r="A470" s="2">
        <v>46126</v>
      </c>
      <c r="B470" t="s">
        <v>28</v>
      </c>
      <c r="C470" t="s">
        <v>39</v>
      </c>
      <c r="D470">
        <v>124782</v>
      </c>
      <c r="E470">
        <v>74786</v>
      </c>
      <c r="F470">
        <v>358</v>
      </c>
      <c r="G470">
        <v>122890</v>
      </c>
      <c r="H470" t="s">
        <v>34</v>
      </c>
      <c r="I470" t="s">
        <v>37</v>
      </c>
      <c r="J470" t="s">
        <v>3</v>
      </c>
      <c r="K470" t="s">
        <v>24</v>
      </c>
      <c r="L470" t="s">
        <v>154</v>
      </c>
      <c r="M470">
        <v>84.2</v>
      </c>
      <c r="N470">
        <v>47244</v>
      </c>
      <c r="O470">
        <f>YEAR(Table1[[#This Row],[Date]])</f>
        <v>2026</v>
      </c>
      <c r="P470" t="str">
        <f>TEXT(Table1[[#This Row],[Date]],"MMM")</f>
        <v>Apr</v>
      </c>
      <c r="Q470">
        <f>Table1[[#This Row],[Revenue]]-Table1[[#This Row],[Expenses]]</f>
        <v>49996</v>
      </c>
    </row>
    <row r="471" spans="1:17" x14ac:dyDescent="0.3">
      <c r="A471" s="2">
        <v>46127</v>
      </c>
      <c r="B471" t="s">
        <v>32</v>
      </c>
      <c r="C471" t="s">
        <v>39</v>
      </c>
      <c r="D471">
        <v>139132</v>
      </c>
      <c r="E471">
        <v>45018</v>
      </c>
      <c r="F471">
        <v>821</v>
      </c>
      <c r="G471">
        <v>133559</v>
      </c>
      <c r="H471" t="s">
        <v>58</v>
      </c>
      <c r="I471" t="s">
        <v>26</v>
      </c>
      <c r="J471" t="s">
        <v>29</v>
      </c>
      <c r="K471" t="s">
        <v>46</v>
      </c>
      <c r="L471" t="s">
        <v>89</v>
      </c>
      <c r="M471">
        <v>88.6</v>
      </c>
      <c r="N471">
        <v>101109</v>
      </c>
      <c r="O471">
        <f>YEAR(Table1[[#This Row],[Date]])</f>
        <v>2026</v>
      </c>
      <c r="P471" t="str">
        <f>TEXT(Table1[[#This Row],[Date]],"MMM")</f>
        <v>Apr</v>
      </c>
      <c r="Q471">
        <f>Table1[[#This Row],[Revenue]]-Table1[[#This Row],[Expenses]]</f>
        <v>94114</v>
      </c>
    </row>
    <row r="472" spans="1:17" x14ac:dyDescent="0.3">
      <c r="A472" s="2">
        <v>46128</v>
      </c>
      <c r="B472" t="s">
        <v>17</v>
      </c>
      <c r="C472" t="s">
        <v>18</v>
      </c>
      <c r="D472">
        <v>153817</v>
      </c>
      <c r="E472">
        <v>108322</v>
      </c>
      <c r="F472">
        <v>992</v>
      </c>
      <c r="G472">
        <v>141360</v>
      </c>
      <c r="H472" t="s">
        <v>19</v>
      </c>
      <c r="I472" t="s">
        <v>26</v>
      </c>
      <c r="J472" t="s">
        <v>29</v>
      </c>
      <c r="K472" t="s">
        <v>52</v>
      </c>
      <c r="L472" t="s">
        <v>284</v>
      </c>
      <c r="M472">
        <v>77.7</v>
      </c>
      <c r="N472">
        <v>41836</v>
      </c>
      <c r="O472">
        <f>YEAR(Table1[[#This Row],[Date]])</f>
        <v>2026</v>
      </c>
      <c r="P472" t="str">
        <f>TEXT(Table1[[#This Row],[Date]],"MMM")</f>
        <v>Apr</v>
      </c>
      <c r="Q472">
        <f>Table1[[#This Row],[Revenue]]-Table1[[#This Row],[Expenses]]</f>
        <v>45495</v>
      </c>
    </row>
    <row r="473" spans="1:17" x14ac:dyDescent="0.3">
      <c r="A473" s="2">
        <v>46129</v>
      </c>
      <c r="B473" t="s">
        <v>17</v>
      </c>
      <c r="C473" t="s">
        <v>48</v>
      </c>
      <c r="D473">
        <v>199062</v>
      </c>
      <c r="E473">
        <v>116446</v>
      </c>
      <c r="F473">
        <v>446</v>
      </c>
      <c r="G473">
        <v>180333</v>
      </c>
      <c r="H473" t="s">
        <v>19</v>
      </c>
      <c r="I473" t="s">
        <v>20</v>
      </c>
      <c r="J473" t="s">
        <v>29</v>
      </c>
      <c r="K473" t="s">
        <v>43</v>
      </c>
      <c r="L473" t="s">
        <v>72</v>
      </c>
      <c r="M473">
        <v>94.2</v>
      </c>
      <c r="N473">
        <v>90581</v>
      </c>
      <c r="O473">
        <f>YEAR(Table1[[#This Row],[Date]])</f>
        <v>2026</v>
      </c>
      <c r="P473" t="str">
        <f>TEXT(Table1[[#This Row],[Date]],"MMM")</f>
        <v>Apr</v>
      </c>
      <c r="Q473">
        <f>Table1[[#This Row],[Revenue]]-Table1[[#This Row],[Expenses]]</f>
        <v>82616</v>
      </c>
    </row>
    <row r="474" spans="1:17" x14ac:dyDescent="0.3">
      <c r="A474" s="2">
        <v>46130</v>
      </c>
      <c r="B474" t="s">
        <v>17</v>
      </c>
      <c r="C474" t="s">
        <v>41</v>
      </c>
      <c r="D474">
        <v>253393</v>
      </c>
      <c r="E474">
        <v>74948</v>
      </c>
      <c r="F474">
        <v>1274</v>
      </c>
      <c r="G474">
        <v>248535</v>
      </c>
      <c r="H474" t="s">
        <v>58</v>
      </c>
      <c r="I474" t="s">
        <v>37</v>
      </c>
      <c r="J474" t="s">
        <v>51</v>
      </c>
      <c r="K474" t="s">
        <v>49</v>
      </c>
      <c r="L474" t="s">
        <v>285</v>
      </c>
      <c r="M474">
        <v>92.2</v>
      </c>
      <c r="N474">
        <v>163637</v>
      </c>
      <c r="O474">
        <f>YEAR(Table1[[#This Row],[Date]])</f>
        <v>2026</v>
      </c>
      <c r="P474" t="str">
        <f>TEXT(Table1[[#This Row],[Date]],"MMM")</f>
        <v>Apr</v>
      </c>
      <c r="Q474">
        <f>Table1[[#This Row],[Revenue]]-Table1[[#This Row],[Expenses]]</f>
        <v>178445</v>
      </c>
    </row>
    <row r="475" spans="1:17" x14ac:dyDescent="0.3">
      <c r="A475" s="2">
        <v>46131</v>
      </c>
      <c r="B475" t="s">
        <v>32</v>
      </c>
      <c r="C475" t="s">
        <v>39</v>
      </c>
      <c r="D475">
        <v>181794</v>
      </c>
      <c r="E475">
        <v>53648</v>
      </c>
      <c r="F475">
        <v>1117</v>
      </c>
      <c r="G475">
        <v>189388</v>
      </c>
      <c r="H475" t="s">
        <v>34</v>
      </c>
      <c r="I475" t="s">
        <v>20</v>
      </c>
      <c r="J475" t="s">
        <v>3</v>
      </c>
      <c r="K475" t="s">
        <v>43</v>
      </c>
      <c r="L475" t="s">
        <v>270</v>
      </c>
      <c r="M475">
        <v>89.9</v>
      </c>
      <c r="N475">
        <v>121401</v>
      </c>
      <c r="O475">
        <f>YEAR(Table1[[#This Row],[Date]])</f>
        <v>2026</v>
      </c>
      <c r="P475" t="str">
        <f>TEXT(Table1[[#This Row],[Date]],"MMM")</f>
        <v>Apr</v>
      </c>
      <c r="Q475">
        <f>Table1[[#This Row],[Revenue]]-Table1[[#This Row],[Expenses]]</f>
        <v>128146</v>
      </c>
    </row>
    <row r="476" spans="1:17" x14ac:dyDescent="0.3">
      <c r="A476" s="2">
        <v>46132</v>
      </c>
      <c r="B476" t="s">
        <v>17</v>
      </c>
      <c r="C476" t="s">
        <v>33</v>
      </c>
      <c r="D476">
        <v>183086</v>
      </c>
      <c r="E476">
        <v>130191</v>
      </c>
      <c r="F476">
        <v>983</v>
      </c>
      <c r="G476">
        <v>199803</v>
      </c>
      <c r="H476" t="s">
        <v>34</v>
      </c>
      <c r="I476" t="s">
        <v>26</v>
      </c>
      <c r="J476" t="s">
        <v>42</v>
      </c>
      <c r="K476" t="s">
        <v>46</v>
      </c>
      <c r="L476" t="s">
        <v>286</v>
      </c>
      <c r="M476">
        <v>88.8</v>
      </c>
      <c r="N476">
        <v>49296</v>
      </c>
      <c r="O476">
        <f>YEAR(Table1[[#This Row],[Date]])</f>
        <v>2026</v>
      </c>
      <c r="P476" t="str">
        <f>TEXT(Table1[[#This Row],[Date]],"MMM")</f>
        <v>Apr</v>
      </c>
      <c r="Q476">
        <f>Table1[[#This Row],[Revenue]]-Table1[[#This Row],[Expenses]]</f>
        <v>52895</v>
      </c>
    </row>
    <row r="477" spans="1:17" x14ac:dyDescent="0.3">
      <c r="A477" s="2">
        <v>46133</v>
      </c>
      <c r="B477" t="s">
        <v>45</v>
      </c>
      <c r="C477" t="s">
        <v>41</v>
      </c>
      <c r="D477">
        <v>75715</v>
      </c>
      <c r="E477">
        <v>54102</v>
      </c>
      <c r="F477">
        <v>1478</v>
      </c>
      <c r="G477">
        <v>70875</v>
      </c>
      <c r="H477" t="s">
        <v>25</v>
      </c>
      <c r="I477" t="s">
        <v>37</v>
      </c>
      <c r="J477" t="s">
        <v>51</v>
      </c>
      <c r="K477" t="s">
        <v>49</v>
      </c>
      <c r="L477" t="s">
        <v>82</v>
      </c>
      <c r="M477">
        <v>93.1</v>
      </c>
      <c r="N477">
        <v>22533</v>
      </c>
      <c r="O477">
        <f>YEAR(Table1[[#This Row],[Date]])</f>
        <v>2026</v>
      </c>
      <c r="P477" t="str">
        <f>TEXT(Table1[[#This Row],[Date]],"MMM")</f>
        <v>Apr</v>
      </c>
      <c r="Q477">
        <f>Table1[[#This Row],[Revenue]]-Table1[[#This Row],[Expenses]]</f>
        <v>21613</v>
      </c>
    </row>
    <row r="478" spans="1:17" x14ac:dyDescent="0.3">
      <c r="A478" s="2">
        <v>46134</v>
      </c>
      <c r="B478" t="s">
        <v>17</v>
      </c>
      <c r="C478" t="s">
        <v>39</v>
      </c>
      <c r="D478">
        <v>264790</v>
      </c>
      <c r="E478">
        <v>99427</v>
      </c>
      <c r="F478">
        <v>359</v>
      </c>
      <c r="G478">
        <v>239123</v>
      </c>
      <c r="H478" t="s">
        <v>34</v>
      </c>
      <c r="I478" t="s">
        <v>20</v>
      </c>
      <c r="J478" t="s">
        <v>51</v>
      </c>
      <c r="K478" t="s">
        <v>49</v>
      </c>
      <c r="L478" t="s">
        <v>177</v>
      </c>
      <c r="M478">
        <v>98.3</v>
      </c>
      <c r="N478">
        <v>161892</v>
      </c>
      <c r="O478">
        <f>YEAR(Table1[[#This Row],[Date]])</f>
        <v>2026</v>
      </c>
      <c r="P478" t="str">
        <f>TEXT(Table1[[#This Row],[Date]],"MMM")</f>
        <v>Apr</v>
      </c>
      <c r="Q478">
        <f>Table1[[#This Row],[Revenue]]-Table1[[#This Row],[Expenses]]</f>
        <v>165363</v>
      </c>
    </row>
    <row r="479" spans="1:17" x14ac:dyDescent="0.3">
      <c r="A479" s="2">
        <v>46135</v>
      </c>
      <c r="B479" t="s">
        <v>45</v>
      </c>
      <c r="C479" t="s">
        <v>24</v>
      </c>
      <c r="D479">
        <v>112739</v>
      </c>
      <c r="E479">
        <v>78404</v>
      </c>
      <c r="F479">
        <v>551</v>
      </c>
      <c r="G479">
        <v>117270</v>
      </c>
      <c r="H479" t="s">
        <v>54</v>
      </c>
      <c r="I479" t="s">
        <v>20</v>
      </c>
      <c r="J479" t="s">
        <v>42</v>
      </c>
      <c r="K479" t="s">
        <v>71</v>
      </c>
      <c r="L479" t="s">
        <v>287</v>
      </c>
      <c r="M479">
        <v>92.1</v>
      </c>
      <c r="N479">
        <v>32043</v>
      </c>
      <c r="O479">
        <f>YEAR(Table1[[#This Row],[Date]])</f>
        <v>2026</v>
      </c>
      <c r="P479" t="str">
        <f>TEXT(Table1[[#This Row],[Date]],"MMM")</f>
        <v>Apr</v>
      </c>
      <c r="Q479">
        <f>Table1[[#This Row],[Revenue]]-Table1[[#This Row],[Expenses]]</f>
        <v>34335</v>
      </c>
    </row>
    <row r="480" spans="1:17" x14ac:dyDescent="0.3">
      <c r="A480" s="2">
        <v>46136</v>
      </c>
      <c r="B480" t="s">
        <v>32</v>
      </c>
      <c r="C480" t="s">
        <v>24</v>
      </c>
      <c r="D480">
        <v>142302</v>
      </c>
      <c r="E480">
        <v>91380</v>
      </c>
      <c r="F480">
        <v>810</v>
      </c>
      <c r="G480">
        <v>145108</v>
      </c>
      <c r="H480" t="s">
        <v>19</v>
      </c>
      <c r="I480" t="s">
        <v>20</v>
      </c>
      <c r="J480" t="s">
        <v>3</v>
      </c>
      <c r="K480" t="s">
        <v>55</v>
      </c>
      <c r="L480" t="s">
        <v>141</v>
      </c>
      <c r="M480">
        <v>86.3</v>
      </c>
      <c r="N480">
        <v>45857</v>
      </c>
      <c r="O480">
        <f>YEAR(Table1[[#This Row],[Date]])</f>
        <v>2026</v>
      </c>
      <c r="P480" t="str">
        <f>TEXT(Table1[[#This Row],[Date]],"MMM")</f>
        <v>Apr</v>
      </c>
      <c r="Q480">
        <f>Table1[[#This Row],[Revenue]]-Table1[[#This Row],[Expenses]]</f>
        <v>50922</v>
      </c>
    </row>
    <row r="481" spans="1:17" x14ac:dyDescent="0.3">
      <c r="A481" s="2">
        <v>46137</v>
      </c>
      <c r="B481" t="s">
        <v>17</v>
      </c>
      <c r="C481" t="s">
        <v>41</v>
      </c>
      <c r="D481">
        <v>240992</v>
      </c>
      <c r="E481">
        <v>127771</v>
      </c>
      <c r="F481">
        <v>1278</v>
      </c>
      <c r="G481">
        <v>257326</v>
      </c>
      <c r="H481" t="s">
        <v>54</v>
      </c>
      <c r="I481" t="s">
        <v>26</v>
      </c>
      <c r="J481" t="s">
        <v>29</v>
      </c>
      <c r="K481" t="s">
        <v>71</v>
      </c>
      <c r="L481" t="s">
        <v>121</v>
      </c>
      <c r="M481">
        <v>87.3</v>
      </c>
      <c r="N481">
        <v>113499</v>
      </c>
      <c r="O481">
        <f>YEAR(Table1[[#This Row],[Date]])</f>
        <v>2026</v>
      </c>
      <c r="P481" t="str">
        <f>TEXT(Table1[[#This Row],[Date]],"MMM")</f>
        <v>Apr</v>
      </c>
      <c r="Q481">
        <f>Table1[[#This Row],[Revenue]]-Table1[[#This Row],[Expenses]]</f>
        <v>113221</v>
      </c>
    </row>
    <row r="482" spans="1:17" x14ac:dyDescent="0.3">
      <c r="A482" s="2">
        <v>46138</v>
      </c>
      <c r="B482" t="s">
        <v>32</v>
      </c>
      <c r="C482" t="s">
        <v>24</v>
      </c>
      <c r="D482">
        <v>161021</v>
      </c>
      <c r="E482">
        <v>103944</v>
      </c>
      <c r="F482">
        <v>362</v>
      </c>
      <c r="G482">
        <v>174566</v>
      </c>
      <c r="H482" t="s">
        <v>25</v>
      </c>
      <c r="I482" t="s">
        <v>37</v>
      </c>
      <c r="J482" t="s">
        <v>3</v>
      </c>
      <c r="K482" t="s">
        <v>22</v>
      </c>
      <c r="L482" t="s">
        <v>264</v>
      </c>
      <c r="M482">
        <v>79.599999999999994</v>
      </c>
      <c r="N482">
        <v>62229</v>
      </c>
      <c r="O482">
        <f>YEAR(Table1[[#This Row],[Date]])</f>
        <v>2026</v>
      </c>
      <c r="P482" t="str">
        <f>TEXT(Table1[[#This Row],[Date]],"MMM")</f>
        <v>Apr</v>
      </c>
      <c r="Q482">
        <f>Table1[[#This Row],[Revenue]]-Table1[[#This Row],[Expenses]]</f>
        <v>57077</v>
      </c>
    </row>
    <row r="483" spans="1:17" x14ac:dyDescent="0.3">
      <c r="A483" s="2">
        <v>46139</v>
      </c>
      <c r="B483" t="s">
        <v>17</v>
      </c>
      <c r="C483" t="s">
        <v>33</v>
      </c>
      <c r="D483">
        <v>109866</v>
      </c>
      <c r="E483">
        <v>39355</v>
      </c>
      <c r="F483">
        <v>981</v>
      </c>
      <c r="G483">
        <v>116445</v>
      </c>
      <c r="H483" t="s">
        <v>19</v>
      </c>
      <c r="I483" t="s">
        <v>20</v>
      </c>
      <c r="J483" t="s">
        <v>42</v>
      </c>
      <c r="K483" t="s">
        <v>22</v>
      </c>
      <c r="L483" t="s">
        <v>194</v>
      </c>
      <c r="M483">
        <v>89.1</v>
      </c>
      <c r="N483">
        <v>66309</v>
      </c>
      <c r="O483">
        <f>YEAR(Table1[[#This Row],[Date]])</f>
        <v>2026</v>
      </c>
      <c r="P483" t="str">
        <f>TEXT(Table1[[#This Row],[Date]],"MMM")</f>
        <v>Apr</v>
      </c>
      <c r="Q483">
        <f>Table1[[#This Row],[Revenue]]-Table1[[#This Row],[Expenses]]</f>
        <v>70511</v>
      </c>
    </row>
    <row r="484" spans="1:17" x14ac:dyDescent="0.3">
      <c r="A484" s="2">
        <v>46140</v>
      </c>
      <c r="B484" t="s">
        <v>17</v>
      </c>
      <c r="C484" t="s">
        <v>24</v>
      </c>
      <c r="D484">
        <v>59754</v>
      </c>
      <c r="E484">
        <v>44764</v>
      </c>
      <c r="F484">
        <v>1419</v>
      </c>
      <c r="G484">
        <v>57408</v>
      </c>
      <c r="H484" t="s">
        <v>54</v>
      </c>
      <c r="I484" t="s">
        <v>37</v>
      </c>
      <c r="J484" t="s">
        <v>51</v>
      </c>
      <c r="K484" t="s">
        <v>30</v>
      </c>
      <c r="L484" t="s">
        <v>214</v>
      </c>
      <c r="M484">
        <v>83.3</v>
      </c>
      <c r="N484">
        <v>14410</v>
      </c>
      <c r="O484">
        <f>YEAR(Table1[[#This Row],[Date]])</f>
        <v>2026</v>
      </c>
      <c r="P484" t="str">
        <f>TEXT(Table1[[#This Row],[Date]],"MMM")</f>
        <v>Apr</v>
      </c>
      <c r="Q484">
        <f>Table1[[#This Row],[Revenue]]-Table1[[#This Row],[Expenses]]</f>
        <v>14990</v>
      </c>
    </row>
    <row r="485" spans="1:17" x14ac:dyDescent="0.3">
      <c r="A485" s="2">
        <v>46141</v>
      </c>
      <c r="B485" t="s">
        <v>17</v>
      </c>
      <c r="C485" t="s">
        <v>24</v>
      </c>
      <c r="D485">
        <v>53649</v>
      </c>
      <c r="E485">
        <v>35516</v>
      </c>
      <c r="F485">
        <v>790</v>
      </c>
      <c r="G485">
        <v>52177</v>
      </c>
      <c r="H485" t="s">
        <v>54</v>
      </c>
      <c r="I485" t="s">
        <v>37</v>
      </c>
      <c r="J485" t="s">
        <v>3</v>
      </c>
      <c r="K485" t="s">
        <v>30</v>
      </c>
      <c r="L485" t="s">
        <v>288</v>
      </c>
      <c r="M485">
        <v>94</v>
      </c>
      <c r="N485">
        <v>19383</v>
      </c>
      <c r="O485">
        <f>YEAR(Table1[[#This Row],[Date]])</f>
        <v>2026</v>
      </c>
      <c r="P485" t="str">
        <f>TEXT(Table1[[#This Row],[Date]],"MMM")</f>
        <v>Apr</v>
      </c>
      <c r="Q485">
        <f>Table1[[#This Row],[Revenue]]-Table1[[#This Row],[Expenses]]</f>
        <v>18133</v>
      </c>
    </row>
    <row r="486" spans="1:17" x14ac:dyDescent="0.3">
      <c r="A486" s="2">
        <v>46142</v>
      </c>
      <c r="B486" t="s">
        <v>32</v>
      </c>
      <c r="C486" t="s">
        <v>18</v>
      </c>
      <c r="D486">
        <v>197588</v>
      </c>
      <c r="E486">
        <v>88831</v>
      </c>
      <c r="F486">
        <v>379</v>
      </c>
      <c r="G486">
        <v>203221</v>
      </c>
      <c r="H486" t="s">
        <v>34</v>
      </c>
      <c r="I486" t="s">
        <v>26</v>
      </c>
      <c r="J486" t="s">
        <v>21</v>
      </c>
      <c r="K486" t="s">
        <v>43</v>
      </c>
      <c r="L486" t="s">
        <v>201</v>
      </c>
      <c r="M486">
        <v>98.4</v>
      </c>
      <c r="N486">
        <v>98939</v>
      </c>
      <c r="O486">
        <f>YEAR(Table1[[#This Row],[Date]])</f>
        <v>2026</v>
      </c>
      <c r="P486" t="str">
        <f>TEXT(Table1[[#This Row],[Date]],"MMM")</f>
        <v>Apr</v>
      </c>
      <c r="Q486">
        <f>Table1[[#This Row],[Revenue]]-Table1[[#This Row],[Expenses]]</f>
        <v>108757</v>
      </c>
    </row>
    <row r="487" spans="1:17" x14ac:dyDescent="0.3">
      <c r="A487" s="2">
        <v>46143</v>
      </c>
      <c r="B487" t="s">
        <v>45</v>
      </c>
      <c r="C487" t="s">
        <v>48</v>
      </c>
      <c r="D487">
        <v>83055</v>
      </c>
      <c r="E487">
        <v>38316</v>
      </c>
      <c r="F487">
        <v>1414</v>
      </c>
      <c r="G487">
        <v>86650</v>
      </c>
      <c r="H487" t="s">
        <v>34</v>
      </c>
      <c r="I487" t="s">
        <v>37</v>
      </c>
      <c r="J487" t="s">
        <v>51</v>
      </c>
      <c r="K487" t="s">
        <v>43</v>
      </c>
      <c r="L487" t="s">
        <v>164</v>
      </c>
      <c r="M487">
        <v>79.5</v>
      </c>
      <c r="N487">
        <v>40654</v>
      </c>
      <c r="O487">
        <f>YEAR(Table1[[#This Row],[Date]])</f>
        <v>2026</v>
      </c>
      <c r="P487" t="str">
        <f>TEXT(Table1[[#This Row],[Date]],"MMM")</f>
        <v>May</v>
      </c>
      <c r="Q487">
        <f>Table1[[#This Row],[Revenue]]-Table1[[#This Row],[Expenses]]</f>
        <v>44739</v>
      </c>
    </row>
    <row r="488" spans="1:17" x14ac:dyDescent="0.3">
      <c r="A488" s="2">
        <v>46144</v>
      </c>
      <c r="B488" t="s">
        <v>17</v>
      </c>
      <c r="C488" t="s">
        <v>48</v>
      </c>
      <c r="D488">
        <v>138833</v>
      </c>
      <c r="E488">
        <v>81823</v>
      </c>
      <c r="F488">
        <v>1266</v>
      </c>
      <c r="G488">
        <v>139714</v>
      </c>
      <c r="H488" t="s">
        <v>19</v>
      </c>
      <c r="I488" t="s">
        <v>37</v>
      </c>
      <c r="J488" t="s">
        <v>42</v>
      </c>
      <c r="K488" t="s">
        <v>52</v>
      </c>
      <c r="L488" t="s">
        <v>180</v>
      </c>
      <c r="M488">
        <v>81.5</v>
      </c>
      <c r="N488">
        <v>54413</v>
      </c>
      <c r="O488">
        <f>YEAR(Table1[[#This Row],[Date]])</f>
        <v>2026</v>
      </c>
      <c r="P488" t="str">
        <f>TEXT(Table1[[#This Row],[Date]],"MMM")</f>
        <v>May</v>
      </c>
      <c r="Q488">
        <f>Table1[[#This Row],[Revenue]]-Table1[[#This Row],[Expenses]]</f>
        <v>57010</v>
      </c>
    </row>
    <row r="489" spans="1:17" x14ac:dyDescent="0.3">
      <c r="A489" s="2">
        <v>46145</v>
      </c>
      <c r="B489" t="s">
        <v>45</v>
      </c>
      <c r="C489" t="s">
        <v>48</v>
      </c>
      <c r="D489">
        <v>209957</v>
      </c>
      <c r="E489">
        <v>111023</v>
      </c>
      <c r="F489">
        <v>1427</v>
      </c>
      <c r="G489">
        <v>204388</v>
      </c>
      <c r="H489" t="s">
        <v>54</v>
      </c>
      <c r="I489" t="s">
        <v>37</v>
      </c>
      <c r="J489" t="s">
        <v>3</v>
      </c>
      <c r="K489" t="s">
        <v>35</v>
      </c>
      <c r="L489" t="s">
        <v>127</v>
      </c>
      <c r="M489">
        <v>90.6</v>
      </c>
      <c r="N489">
        <v>104645</v>
      </c>
      <c r="O489">
        <f>YEAR(Table1[[#This Row],[Date]])</f>
        <v>2026</v>
      </c>
      <c r="P489" t="str">
        <f>TEXT(Table1[[#This Row],[Date]],"MMM")</f>
        <v>May</v>
      </c>
      <c r="Q489">
        <f>Table1[[#This Row],[Revenue]]-Table1[[#This Row],[Expenses]]</f>
        <v>98934</v>
      </c>
    </row>
    <row r="490" spans="1:17" x14ac:dyDescent="0.3">
      <c r="A490" s="2">
        <v>46146</v>
      </c>
      <c r="B490" t="s">
        <v>28</v>
      </c>
      <c r="C490" t="s">
        <v>18</v>
      </c>
      <c r="D490">
        <v>144404</v>
      </c>
      <c r="E490">
        <v>74794</v>
      </c>
      <c r="F490">
        <v>1481</v>
      </c>
      <c r="G490">
        <v>145149</v>
      </c>
      <c r="H490" t="s">
        <v>25</v>
      </c>
      <c r="I490" t="s">
        <v>20</v>
      </c>
      <c r="J490" t="s">
        <v>21</v>
      </c>
      <c r="K490" t="s">
        <v>52</v>
      </c>
      <c r="L490" t="s">
        <v>104</v>
      </c>
      <c r="M490">
        <v>87.1</v>
      </c>
      <c r="N490">
        <v>75573</v>
      </c>
      <c r="O490">
        <f>YEAR(Table1[[#This Row],[Date]])</f>
        <v>2026</v>
      </c>
      <c r="P490" t="str">
        <f>TEXT(Table1[[#This Row],[Date]],"MMM")</f>
        <v>May</v>
      </c>
      <c r="Q490">
        <f>Table1[[#This Row],[Revenue]]-Table1[[#This Row],[Expenses]]</f>
        <v>69610</v>
      </c>
    </row>
    <row r="491" spans="1:17" x14ac:dyDescent="0.3">
      <c r="A491" s="2">
        <v>46147</v>
      </c>
      <c r="B491" t="s">
        <v>17</v>
      </c>
      <c r="C491" t="s">
        <v>48</v>
      </c>
      <c r="D491">
        <v>107653</v>
      </c>
      <c r="E491">
        <v>49138</v>
      </c>
      <c r="F491">
        <v>1141</v>
      </c>
      <c r="G491">
        <v>108833</v>
      </c>
      <c r="H491" t="s">
        <v>25</v>
      </c>
      <c r="I491" t="s">
        <v>26</v>
      </c>
      <c r="J491" t="s">
        <v>3</v>
      </c>
      <c r="K491" t="s">
        <v>71</v>
      </c>
      <c r="L491" t="s">
        <v>256</v>
      </c>
      <c r="M491">
        <v>96.9</v>
      </c>
      <c r="N491">
        <v>56694</v>
      </c>
      <c r="O491">
        <f>YEAR(Table1[[#This Row],[Date]])</f>
        <v>2026</v>
      </c>
      <c r="P491" t="str">
        <f>TEXT(Table1[[#This Row],[Date]],"MMM")</f>
        <v>May</v>
      </c>
      <c r="Q491">
        <f>Table1[[#This Row],[Revenue]]-Table1[[#This Row],[Expenses]]</f>
        <v>58515</v>
      </c>
    </row>
    <row r="492" spans="1:17" x14ac:dyDescent="0.3">
      <c r="A492" s="2">
        <v>46148</v>
      </c>
      <c r="B492" t="s">
        <v>45</v>
      </c>
      <c r="C492" t="s">
        <v>18</v>
      </c>
      <c r="D492">
        <v>217625</v>
      </c>
      <c r="E492">
        <v>65418</v>
      </c>
      <c r="F492">
        <v>290</v>
      </c>
      <c r="G492">
        <v>196770</v>
      </c>
      <c r="H492" t="s">
        <v>54</v>
      </c>
      <c r="I492" t="s">
        <v>26</v>
      </c>
      <c r="J492" t="s">
        <v>51</v>
      </c>
      <c r="K492" t="s">
        <v>43</v>
      </c>
      <c r="L492" t="s">
        <v>262</v>
      </c>
      <c r="M492">
        <v>78.3</v>
      </c>
      <c r="N492">
        <v>153586</v>
      </c>
      <c r="O492">
        <f>YEAR(Table1[[#This Row],[Date]])</f>
        <v>2026</v>
      </c>
      <c r="P492" t="str">
        <f>TEXT(Table1[[#This Row],[Date]],"MMM")</f>
        <v>May</v>
      </c>
      <c r="Q492">
        <f>Table1[[#This Row],[Revenue]]-Table1[[#This Row],[Expenses]]</f>
        <v>152207</v>
      </c>
    </row>
    <row r="493" spans="1:17" x14ac:dyDescent="0.3">
      <c r="A493" s="2">
        <v>46149</v>
      </c>
      <c r="B493" t="s">
        <v>32</v>
      </c>
      <c r="C493" t="s">
        <v>33</v>
      </c>
      <c r="D493">
        <v>177487</v>
      </c>
      <c r="E493">
        <v>69262</v>
      </c>
      <c r="F493">
        <v>645</v>
      </c>
      <c r="G493">
        <v>179981</v>
      </c>
      <c r="H493" t="s">
        <v>54</v>
      </c>
      <c r="I493" t="s">
        <v>37</v>
      </c>
      <c r="J493" t="s">
        <v>21</v>
      </c>
      <c r="K493" t="s">
        <v>30</v>
      </c>
      <c r="L493" t="s">
        <v>178</v>
      </c>
      <c r="M493">
        <v>80.3</v>
      </c>
      <c r="N493">
        <v>104707</v>
      </c>
      <c r="O493">
        <f>YEAR(Table1[[#This Row],[Date]])</f>
        <v>2026</v>
      </c>
      <c r="P493" t="str">
        <f>TEXT(Table1[[#This Row],[Date]],"MMM")</f>
        <v>May</v>
      </c>
      <c r="Q493">
        <f>Table1[[#This Row],[Revenue]]-Table1[[#This Row],[Expenses]]</f>
        <v>108225</v>
      </c>
    </row>
    <row r="494" spans="1:17" x14ac:dyDescent="0.3">
      <c r="A494" s="2">
        <v>46150</v>
      </c>
      <c r="B494" t="s">
        <v>28</v>
      </c>
      <c r="C494" t="s">
        <v>41</v>
      </c>
      <c r="D494">
        <v>219017</v>
      </c>
      <c r="E494">
        <v>152840</v>
      </c>
      <c r="F494">
        <v>1289</v>
      </c>
      <c r="G494">
        <v>199290</v>
      </c>
      <c r="H494" t="s">
        <v>34</v>
      </c>
      <c r="I494" t="s">
        <v>26</v>
      </c>
      <c r="J494" t="s">
        <v>51</v>
      </c>
      <c r="K494" t="s">
        <v>49</v>
      </c>
      <c r="L494" t="s">
        <v>289</v>
      </c>
      <c r="M494">
        <v>90</v>
      </c>
      <c r="N494">
        <v>71589</v>
      </c>
      <c r="O494">
        <f>YEAR(Table1[[#This Row],[Date]])</f>
        <v>2026</v>
      </c>
      <c r="P494" t="str">
        <f>TEXT(Table1[[#This Row],[Date]],"MMM")</f>
        <v>May</v>
      </c>
      <c r="Q494">
        <f>Table1[[#This Row],[Revenue]]-Table1[[#This Row],[Expenses]]</f>
        <v>66177</v>
      </c>
    </row>
    <row r="495" spans="1:17" x14ac:dyDescent="0.3">
      <c r="A495" s="2">
        <v>46151</v>
      </c>
      <c r="B495" t="s">
        <v>32</v>
      </c>
      <c r="C495" t="s">
        <v>41</v>
      </c>
      <c r="D495">
        <v>149660</v>
      </c>
      <c r="E495">
        <v>55306</v>
      </c>
      <c r="F495">
        <v>634</v>
      </c>
      <c r="G495">
        <v>156748</v>
      </c>
      <c r="H495" t="s">
        <v>25</v>
      </c>
      <c r="I495" t="s">
        <v>37</v>
      </c>
      <c r="J495" t="s">
        <v>3</v>
      </c>
      <c r="K495" t="s">
        <v>24</v>
      </c>
      <c r="L495" t="s">
        <v>59</v>
      </c>
      <c r="M495">
        <v>86</v>
      </c>
      <c r="N495">
        <v>90116</v>
      </c>
      <c r="O495">
        <f>YEAR(Table1[[#This Row],[Date]])</f>
        <v>2026</v>
      </c>
      <c r="P495" t="str">
        <f>TEXT(Table1[[#This Row],[Date]],"MMM")</f>
        <v>May</v>
      </c>
      <c r="Q495">
        <f>Table1[[#This Row],[Revenue]]-Table1[[#This Row],[Expenses]]</f>
        <v>94354</v>
      </c>
    </row>
    <row r="496" spans="1:17" x14ac:dyDescent="0.3">
      <c r="A496" s="2">
        <v>46152</v>
      </c>
      <c r="B496" t="s">
        <v>32</v>
      </c>
      <c r="C496" t="s">
        <v>48</v>
      </c>
      <c r="D496">
        <v>227062</v>
      </c>
      <c r="E496">
        <v>105140</v>
      </c>
      <c r="F496">
        <v>1339</v>
      </c>
      <c r="G496">
        <v>244094</v>
      </c>
      <c r="H496" t="s">
        <v>54</v>
      </c>
      <c r="I496" t="s">
        <v>37</v>
      </c>
      <c r="J496" t="s">
        <v>21</v>
      </c>
      <c r="K496" t="s">
        <v>52</v>
      </c>
      <c r="L496" t="s">
        <v>40</v>
      </c>
      <c r="M496">
        <v>90.1</v>
      </c>
      <c r="N496">
        <v>129606</v>
      </c>
      <c r="O496">
        <f>YEAR(Table1[[#This Row],[Date]])</f>
        <v>2026</v>
      </c>
      <c r="P496" t="str">
        <f>TEXT(Table1[[#This Row],[Date]],"MMM")</f>
        <v>May</v>
      </c>
      <c r="Q496">
        <f>Table1[[#This Row],[Revenue]]-Table1[[#This Row],[Expenses]]</f>
        <v>121922</v>
      </c>
    </row>
    <row r="497" spans="1:17" x14ac:dyDescent="0.3">
      <c r="A497" s="2">
        <v>46153</v>
      </c>
      <c r="B497" t="s">
        <v>45</v>
      </c>
      <c r="C497" t="s">
        <v>39</v>
      </c>
      <c r="D497">
        <v>245672</v>
      </c>
      <c r="E497">
        <v>158356</v>
      </c>
      <c r="F497">
        <v>467</v>
      </c>
      <c r="G497">
        <v>221177</v>
      </c>
      <c r="H497" t="s">
        <v>58</v>
      </c>
      <c r="I497" t="s">
        <v>26</v>
      </c>
      <c r="J497" t="s">
        <v>51</v>
      </c>
      <c r="K497" t="s">
        <v>55</v>
      </c>
      <c r="L497" t="s">
        <v>285</v>
      </c>
      <c r="M497">
        <v>94.1</v>
      </c>
      <c r="N497">
        <v>83375</v>
      </c>
      <c r="O497">
        <f>YEAR(Table1[[#This Row],[Date]])</f>
        <v>2026</v>
      </c>
      <c r="P497" t="str">
        <f>TEXT(Table1[[#This Row],[Date]],"MMM")</f>
        <v>May</v>
      </c>
      <c r="Q497">
        <f>Table1[[#This Row],[Revenue]]-Table1[[#This Row],[Expenses]]</f>
        <v>87316</v>
      </c>
    </row>
    <row r="498" spans="1:17" x14ac:dyDescent="0.3">
      <c r="A498" s="2">
        <v>46154</v>
      </c>
      <c r="B498" t="s">
        <v>32</v>
      </c>
      <c r="C498" t="s">
        <v>24</v>
      </c>
      <c r="D498">
        <v>151741</v>
      </c>
      <c r="E498">
        <v>53951</v>
      </c>
      <c r="F498">
        <v>570</v>
      </c>
      <c r="G498">
        <v>146197</v>
      </c>
      <c r="H498" t="s">
        <v>25</v>
      </c>
      <c r="I498" t="s">
        <v>20</v>
      </c>
      <c r="J498" t="s">
        <v>21</v>
      </c>
      <c r="K498" t="s">
        <v>49</v>
      </c>
      <c r="L498" t="s">
        <v>281</v>
      </c>
      <c r="M498">
        <v>81</v>
      </c>
      <c r="N498">
        <v>106701</v>
      </c>
      <c r="O498">
        <f>YEAR(Table1[[#This Row],[Date]])</f>
        <v>2026</v>
      </c>
      <c r="P498" t="str">
        <f>TEXT(Table1[[#This Row],[Date]],"MMM")</f>
        <v>May</v>
      </c>
      <c r="Q498">
        <f>Table1[[#This Row],[Revenue]]-Table1[[#This Row],[Expenses]]</f>
        <v>97790</v>
      </c>
    </row>
    <row r="499" spans="1:17" x14ac:dyDescent="0.3">
      <c r="A499" s="2">
        <v>46155</v>
      </c>
      <c r="B499" t="s">
        <v>17</v>
      </c>
      <c r="C499" t="s">
        <v>33</v>
      </c>
      <c r="D499">
        <v>260183</v>
      </c>
      <c r="E499">
        <v>171340</v>
      </c>
      <c r="F499">
        <v>317</v>
      </c>
      <c r="G499">
        <v>282077</v>
      </c>
      <c r="H499" t="s">
        <v>25</v>
      </c>
      <c r="I499" t="s">
        <v>26</v>
      </c>
      <c r="J499" t="s">
        <v>29</v>
      </c>
      <c r="K499" t="s">
        <v>24</v>
      </c>
      <c r="L499" t="s">
        <v>200</v>
      </c>
      <c r="M499">
        <v>87.6</v>
      </c>
      <c r="N499">
        <v>90144</v>
      </c>
      <c r="O499">
        <f>YEAR(Table1[[#This Row],[Date]])</f>
        <v>2026</v>
      </c>
      <c r="P499" t="str">
        <f>TEXT(Table1[[#This Row],[Date]],"MMM")</f>
        <v>May</v>
      </c>
      <c r="Q499">
        <f>Table1[[#This Row],[Revenue]]-Table1[[#This Row],[Expenses]]</f>
        <v>88843</v>
      </c>
    </row>
    <row r="500" spans="1:17" x14ac:dyDescent="0.3">
      <c r="A500" s="2">
        <v>46156</v>
      </c>
      <c r="B500" t="s">
        <v>28</v>
      </c>
      <c r="C500" t="s">
        <v>48</v>
      </c>
      <c r="D500">
        <v>199037</v>
      </c>
      <c r="E500">
        <v>127848</v>
      </c>
      <c r="F500">
        <v>917</v>
      </c>
      <c r="G500">
        <v>202156</v>
      </c>
      <c r="H500" t="s">
        <v>19</v>
      </c>
      <c r="I500" t="s">
        <v>20</v>
      </c>
      <c r="J500" t="s">
        <v>21</v>
      </c>
      <c r="K500" t="s">
        <v>49</v>
      </c>
      <c r="L500" t="s">
        <v>290</v>
      </c>
      <c r="M500">
        <v>86.2</v>
      </c>
      <c r="N500">
        <v>72646</v>
      </c>
      <c r="O500">
        <f>YEAR(Table1[[#This Row],[Date]])</f>
        <v>2026</v>
      </c>
      <c r="P500" t="str">
        <f>TEXT(Table1[[#This Row],[Date]],"MMM")</f>
        <v>May</v>
      </c>
      <c r="Q500">
        <f>Table1[[#This Row],[Revenue]]-Table1[[#This Row],[Expenses]]</f>
        <v>71189</v>
      </c>
    </row>
    <row r="501" spans="1:17" x14ac:dyDescent="0.3">
      <c r="A501" s="2">
        <v>46157</v>
      </c>
      <c r="B501" t="s">
        <v>28</v>
      </c>
      <c r="C501" t="s">
        <v>39</v>
      </c>
      <c r="D501">
        <v>109680</v>
      </c>
      <c r="E501">
        <v>71086</v>
      </c>
      <c r="F501">
        <v>478</v>
      </c>
      <c r="G501">
        <v>117672</v>
      </c>
      <c r="H501" t="s">
        <v>58</v>
      </c>
      <c r="I501" t="s">
        <v>26</v>
      </c>
      <c r="J501" t="s">
        <v>42</v>
      </c>
      <c r="K501" t="s">
        <v>30</v>
      </c>
      <c r="L501" t="s">
        <v>147</v>
      </c>
      <c r="M501">
        <v>91.3</v>
      </c>
      <c r="N501">
        <v>36904</v>
      </c>
      <c r="O501">
        <f>YEAR(Table1[[#This Row],[Date]])</f>
        <v>2026</v>
      </c>
      <c r="P501" t="str">
        <f>TEXT(Table1[[#This Row],[Date]],"MMM")</f>
        <v>May</v>
      </c>
      <c r="Q501">
        <f>Table1[[#This Row],[Revenue]]-Table1[[#This Row],[Expenses]]</f>
        <v>38594</v>
      </c>
    </row>
  </sheetData>
  <pageMargins left="0.75" right="0.75" top="1" bottom="1" header="0.5" footer="0.5"/>
  <pageSetup paperSize="9" orientation="portrait" horizontalDpi="4294967293" verticalDpi="429496729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1</vt:lpstr>
      <vt:lpstr>KPI_Data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lastModifiedBy>kumar shivam</cp:lastModifiedBy>
  <dcterms:created xsi:type="dcterms:W3CDTF">2026-09-12T11:02:22Z</dcterms:created>
  <dcterms:modified xsi:type="dcterms:W3CDTF">2026-10-04T15:57:51Z</dcterms:modified>
</cp:coreProperties>
</file>